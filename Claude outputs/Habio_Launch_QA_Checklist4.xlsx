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heet" sheetId="2" state="visible" r:id="rId4"/>
    <sheet name="Customer App" sheetId="3" state="visible" r:id="rId5"/>
    <sheet name="Professional App" sheetId="4" state="visible" r:id="rId6"/>
    <sheet name="Backend &amp; Shared Logi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<sst xmlns="http://schemas.openxmlformats.org/spreadsheetml/2006/main" count="564" uniqueCount="272">
  <si>
    <t xml:space="preserve">Habio launch QA checklist — dashboard</t>
  </si>
  <si>
    <t xml:space="preserve">How to use this workbook</t>
  </si>
  <si>
    <t xml:space="preserve">- Each tab (Customer App, Professional App, Backend &amp; Shared Logic) lists every screen or piece of logic built so far, grouped the way the app actually flows.</t>
  </si>
  <si>
    <t xml:space="preserve">- Set the Status column as you confirm what state something is really in: Not Built, Built - Not Tested, Deployed - Not Tested, or Deployed and Confirmed.</t>
  </si>
  <si>
    <t xml:space="preserve">- Set the Tested? column as you physically walk through each screen on a device: Not Started, In Progress, Pass, or Fail.</t>
  </si>
  <si>
    <t xml:space="preserve">- Priority flags what should block launch (Launch Blocker) vs what can slip (High / Medium / Low). Adjust freely - the starting values are a judgment call based on the engineering log.</t>
  </si>
  <si>
    <t xml:space="preserve">- Use Notes / issues found to record anything broken, half-working, or needing a follow-up decision from you.</t>
  </si>
  <si>
    <t xml:space="preserve">- The counts below update automatically from all three sheets as you edit the Status column.</t>
  </si>
  <si>
    <t xml:space="preserve">Status counts across all three sheets</t>
  </si>
  <si>
    <t xml:space="preserve">Status</t>
  </si>
  <si>
    <t xml:space="preserve">Customer App</t>
  </si>
  <si>
    <t xml:space="preserve">Professional App</t>
  </si>
  <si>
    <t xml:space="preserve">Backend &amp; Shared Logic</t>
  </si>
  <si>
    <t xml:space="preserve">Total</t>
  </si>
  <si>
    <t xml:space="preserve">Not Built</t>
  </si>
  <si>
    <t xml:space="preserve">Built - Not Tested</t>
  </si>
  <si>
    <t xml:space="preserve">Deployed - Not Tested</t>
  </si>
  <si>
    <t xml:space="preserve">Deployed and Confirmed</t>
  </si>
  <si>
    <t xml:space="preserve">Total items</t>
  </si>
  <si>
    <t xml:space="preserve">Launch blocker count by sheet</t>
  </si>
  <si>
    <t xml:space="preserve">Sheet</t>
  </si>
  <si>
    <t xml:space="preserve">Launch Blockers (any status)</t>
  </si>
  <si>
    <t xml:space="preserve">Launch Blockers still Not Built or Not Tested</t>
  </si>
  <si>
    <t xml:space="preserve">Last reviewed 2026-09-08 by Claude -- statuses cross-checked against this week's engineering session (App Check fix, request-data-completeness fix, availability re-match addition) and the project's master to-do / engineering log. Adjust anything that doesn't match what you're actually seeing.</t>
  </si>
  <si>
    <t xml:space="preserve">Habio launch QA checklist — Customer App</t>
  </si>
  <si>
    <t xml:space="preserve">Section</t>
  </si>
  <si>
    <t xml:space="preserve">Screen / Feature</t>
  </si>
  <si>
    <t xml:space="preserve">What it does</t>
  </si>
  <si>
    <t xml:space="preserve">Tested?</t>
  </si>
  <si>
    <t xml:space="preserve">Priority</t>
  </si>
  <si>
    <t xml:space="preserve">Notes / issues found</t>
  </si>
  <si>
    <t xml:space="preserve">Entry</t>
  </si>
  <si>
    <t xml:space="preserve">Splash screen</t>
  </si>
  <si>
    <t xml:space="preserve">Standard timing splash, cityscape decoration, logo.</t>
  </si>
  <si>
    <t xml:space="preserve">Pass</t>
  </si>
  <si>
    <t xml:space="preserve">Low</t>
  </si>
  <si>
    <t xml:space="preserve">Onboarding carousel (3 pages)</t>
  </si>
  <si>
    <t xml:space="preserve">Handshake / describe-problem / completed-service illustrated pages, shown once before login.</t>
  </si>
  <si>
    <t xml:space="preserve">Not Started</t>
  </si>
  <si>
    <t xml:space="preserve">Medium</t>
  </si>
  <si>
    <t xml:space="preserve">Login / OTP screen</t>
  </si>
  <si>
    <t xml:space="preserve">Phone entry + OTP verify. Logo enlarged 70x70 to 100x100.</t>
  </si>
  <si>
    <t xml:space="preserve">OTP login itself has been used continuously throughout testing -- every other confirmed flow (bidding, chat, cancellation) depends on being logged in, so this is clearly working. The specific 100x100 logo resize hasn't been separately visually confirmed.</t>
  </si>
  <si>
    <t xml:space="preserve">Home screen</t>
  </si>
  <si>
    <t xml:space="preserve">Quick Services section</t>
  </si>
  <si>
    <t xml:space="preserve">2-card row for Cleaning + Helper Services with Fixed price badge, routes into tier-based flow.</t>
  </si>
  <si>
    <t xml:space="preserve">Launch Blocker</t>
  </si>
  <si>
    <t xml:space="preserve">Browse Categories grid</t>
  </si>
  <si>
    <t xml:space="preserve">All 15 non-quick categories, filters out the 2 Quick Services categories.</t>
  </si>
  <si>
    <t xml:space="preserve">Trending Services</t>
  </si>
  <si>
    <t xml:space="preserve">Currently inactive placeholder, no real logic or Firestore wiring yet.</t>
  </si>
  <si>
    <t xml:space="preserve">Emergency / Night Services</t>
  </si>
  <si>
    <t xml:space="preserve">Currently inactive placeholder, scope not yet defined.</t>
  </si>
  <si>
    <t xml:space="preserve">Frequently Used section</t>
  </si>
  <si>
    <t xml:space="preserve">Existing, already-live widget, untouched by recent work.</t>
  </si>
  <si>
    <t xml:space="preserve">Standard request flow (15 bidding categories)</t>
  </si>
  <si>
    <t xml:space="preserve">Category -&gt; Subcategory screen</t>
  </si>
  <si>
    <t xml:space="preserve">Subcategory picker; 4 categories (Metal Fab, Glass, Fabric, Decoration) newly added, needs a fresh build to appear.</t>
  </si>
  <si>
    <t xml:space="preserve">Add request details</t>
  </si>
  <si>
    <t xml:space="preserve">Free-text / structured details for the job.</t>
  </si>
  <si>
    <t xml:space="preserve">Confirm location screen</t>
  </si>
  <si>
    <t xml:space="preserve">Address capture and pin confirmation.</t>
  </si>
  <si>
    <t xml:space="preserve">Date / time screen</t>
  </si>
  <si>
    <t xml:space="preserve">24 specific 1-hour slots plus Anytime, replacing old Morning/Afternoon/Evening buckets. Shared by every category.</t>
  </si>
  <si>
    <t xml:space="preserve">Review &amp; Submit screen</t>
  </si>
  <si>
    <t xml:space="preserve">Shows 'Request Quotes' CTA for bidding requests.</t>
  </si>
  <si>
    <t xml:space="preserve">2026-09-08: fixed a bug where category/subcategory/address/date/time-slot were silently dropped when the request was written to Firestore (a gap between the ServiceRequest and ServiceRequestModel classes) -- the professional's opportunity card was showing incomplete details as a result. Fix committed to request_service.dart/request_repository.dart/finding_professionals_screen.dart; needs a fresh end-to-end request to confirm the professional now sees full details.</t>
  </si>
  <si>
    <t xml:space="preserve">Finding Professionals (bidding copy)</t>
  </si>
  <si>
    <t xml:space="preserve">Transition screen with quotation-oriented copy.</t>
  </si>
  <si>
    <t xml:space="preserve">Bid list screen</t>
  </si>
  <si>
    <t xml:space="preserve">Real Firestore bid stream, compare bids, accept a bid.</t>
  </si>
  <si>
    <t xml:space="preserve">High</t>
  </si>
  <si>
    <t xml:space="preserve">Quick Services request flow (Cleaning + Helper Services)</t>
  </si>
  <si>
    <t xml:space="preserve">Fixed-price request screen (tier picker)</t>
  </si>
  <si>
    <t xml:space="preserve">3 tiers per subcategory across all 32 subcategories, 96 placeholder prices need review.</t>
  </si>
  <si>
    <t xml:space="preserve">Address screen (reused)</t>
  </si>
  <si>
    <t xml:space="preserve">Same AddressScreen as bidding flow, unmodified.</t>
  </si>
  <si>
    <t xml:space="preserve">Review &amp; Submit (fixed-price copy)</t>
  </si>
  <si>
    <t xml:space="preserve">Shows 'Submit Request' CTA instead of Request Quotes.</t>
  </si>
  <si>
    <t xml:space="preserve">Finding Professionals (fixed-price copy)</t>
  </si>
  <si>
    <t xml:space="preserve">Conditional copy: 'price already set, waiting for acceptance'.</t>
  </si>
  <si>
    <t xml:space="preserve">Fixed Price Waiting screen</t>
  </si>
  <si>
    <t xml:space="preserve">Raise-price bottom sheet, 45-second 'taking longer than usual' banner.</t>
  </si>
  <si>
    <t xml:space="preserve">Order lifecycle (shared)</t>
  </si>
  <si>
    <t xml:space="preserve">Order Status screen</t>
  </si>
  <si>
    <t xml:space="preserve">Confirmed / active / completed states, professional contact card.</t>
  </si>
  <si>
    <t xml:space="preserve">Cancellation flow (payment-gated redesign)</t>
  </si>
  <si>
    <t xml:space="preserve">cancelOrder only records intent; order stays active until payCancellationFee actually clears it.</t>
  </si>
  <si>
    <t xml:space="preserve">Backend functions (cancelOrder, payCancellationFee) were redeployed 2026-09-08 alongside the App Check fix, so the full loop can now actually be tested end-to-end -- that walkthrough hasn't happened yet.</t>
  </si>
  <si>
    <t xml:space="preserve">Cancellation fee payment sheet (mocked)</t>
  </si>
  <si>
    <t xml:space="preserve">Ppay 150 rupees mock sheet, already confirmed working by Harsh once.</t>
  </si>
  <si>
    <t xml:space="preserve">Rate &amp; Review screen</t>
  </si>
  <si>
    <t xml:space="preserve">One review per completed order, immutable once submitted.</t>
  </si>
  <si>
    <t xml:space="preserve">Bookings tab</t>
  </si>
  <si>
    <t xml:space="preserve">Ongoing / Completed / Cancelled tabs</t>
  </si>
  <si>
    <t xml:space="preserve">Three-stage bookings list.</t>
  </si>
  <si>
    <t xml:space="preserve">Upcoming card routing fix</t>
  </si>
  <si>
    <t xml:space="preserve">Fixed-price requests now route to Waiting screen instead of the bid list.</t>
  </si>
  <si>
    <t xml:space="preserve">Pay button swap on pending fee</t>
  </si>
  <si>
    <t xml:space="preserve">Card button switches Cancel -&gt; Pay 150 rupees while a fee is pending.</t>
  </si>
  <si>
    <t xml:space="preserve">Profile / support</t>
  </si>
  <si>
    <t xml:space="preserve">Support chat (customer to admin)</t>
  </si>
  <si>
    <t xml:space="preserve">Confirmed end to end, admin replies via standalone console.</t>
  </si>
  <si>
    <t xml:space="preserve">Public professional profile view</t>
  </si>
  <si>
    <t xml:space="preserve">Ratings, completed jobs count, review history, portfolio photos.</t>
  </si>
  <si>
    <t xml:space="preserve">Not yet built (customer side)</t>
  </si>
  <si>
    <t xml:space="preserve">Live GPS tracking</t>
  </si>
  <si>
    <t xml:space="preserve">En-route / on-the-way map view of the assigned professional.</t>
  </si>
  <si>
    <t xml:space="preserve">OTP-to-start-job (customer side)</t>
  </si>
  <si>
    <t xml:space="preserve">Customer receives and shares a one-time code with the professional on arrival.</t>
  </si>
  <si>
    <t xml:space="preserve">Real Razorpay payment UI</t>
  </si>
  <si>
    <t xml:space="preserve">Live gateway checkout, replacing the fully mocked payment flow.</t>
  </si>
  <si>
    <t xml:space="preserve">Minimum floor price reference on bid UI</t>
  </si>
  <si>
    <t xml:space="preserve">Soft 'near market rate' reference across all categories, not just Quick Services.</t>
  </si>
  <si>
    <t xml:space="preserve">Multi-day estimated completion display</t>
  </si>
  <si>
    <t xml:space="preserve">Shown only for subcategories flagged multi-day-eligible.</t>
  </si>
  <si>
    <t xml:space="preserve">Tiered cancellation fee logic</t>
  </si>
  <si>
    <t xml:space="preserve">5% of order cost for multi-day-eligible jobs, vs flat 150 rupees otherwise.</t>
  </si>
  <si>
    <t xml:space="preserve">Fixes &amp; additions since last QA pass (2026-09-08)</t>
  </si>
  <si>
    <t xml:space="preserve">Request data completeness fix (category/address/date/time-slot)</t>
  </si>
  <si>
    <t xml:space="preserve">Customer-side write path (ServiceRequestModel/RequestService/RequestRepository) was silently dropping these fields before they reached Firestore, even though the professional app already knew how to read them.</t>
  </si>
  <si>
    <t xml:space="preserve">Root cause of the 'request card still does not show details' bug reported this week. Fixed and committed to the customer app 2026-09-08. Needs: submit a fresh test request end-to-end and confirm the professional's opportunity card shows category, address, date and time slot.</t>
  </si>
  <si>
    <t xml:space="preserve">Habio launch QA checklist — Professional App</t>
  </si>
  <si>
    <t xml:space="preserve">Cityscape decoration matching customer app, 5-second timing.</t>
  </si>
  <si>
    <t xml:space="preserve">Post-splash intro carousel</t>
  </si>
  <si>
    <t xml:space="preserve">Overhauled 2026-09-04 to use real mascot artwork (price-setting / matched-jobs / earnings) replacing the earlier code-drawn character.</t>
  </si>
  <si>
    <t xml:space="preserve">Shipped as part of the professional app's real release build (~2026-09-06/07, the ~74MB release APK); not separately walked through on-device.</t>
  </si>
  <si>
    <t xml:space="preserve">Phone entry + OTP verify, separate file from the customer app's OTP screen.</t>
  </si>
  <si>
    <t xml:space="preserve">Onboarding wizard</t>
  </si>
  <si>
    <t xml:space="preserve">Name / about / experience step</t>
  </si>
  <si>
    <t xml:space="preserve">Basic profile fields.</t>
  </si>
  <si>
    <t xml:space="preserve">Category + subcategory picker</t>
  </si>
  <si>
    <t xml:space="preserve">Mirrored taxonomy; needs rebuild to show the 4 newly added categories.</t>
  </si>
  <si>
    <t xml:space="preserve">Shipped in the professional app's real release build -- the rebuild this needed has happened. Not yet visually confirmed that all 4 new categories (Metal Fabrication, Glass Work, Fabric &amp; Tailoring, Decoration &amp; Events) actually appear.</t>
  </si>
  <si>
    <t xml:space="preserve">Business vs Individual choice</t>
  </si>
  <si>
    <t xml:space="preserve">Business path requires GST number plus certificate upload; raises active-order cap to 5 and adds an Employee Assigned field on bids.</t>
  </si>
  <si>
    <t xml:space="preserve">Shipped in the same release build as the category picker rebuild above.</t>
  </si>
  <si>
    <t xml:space="preserve">Service area + location + radius step</t>
  </si>
  <si>
    <t xml:space="preserve">Geolocator-based capture, configurable service radius.</t>
  </si>
  <si>
    <t xml:space="preserve">Optional referral-code entry</t>
  </si>
  <si>
    <t xml:space="preserve">New field on VerificationScreen, resolved against referral_codes collection.</t>
  </si>
  <si>
    <t xml:space="preserve">Client-side field is shipped in the release build, but resolving a code depends on firestore.rules for the new referral_codes collection -- that rules deploy (firebase deploy --only firestore:rules) hasn't been confirmed run yet, so entering a code may currently fail with a permission error. Test only after that deploy.</t>
  </si>
  <si>
    <t xml:space="preserve">Verification screen (document upload)</t>
  </si>
  <si>
    <t xml:space="preserve">PAN / Aadhaar / bank statement / photo upload. isVerified is still an auto-true placeholder.</t>
  </si>
  <si>
    <t xml:space="preserve">Professional home</t>
  </si>
  <si>
    <t xml:space="preserve">Welcome header with real name</t>
  </si>
  <si>
    <t xml:space="preserve">Fixed from a hardcoded 'Welcome to Habio' string.</t>
  </si>
  <si>
    <t xml:space="preserve">Shipped in the release build; not separately confirmed the header shows the real name rather than the old hardcoded string.</t>
  </si>
  <si>
    <t xml:space="preserve">Service location chip</t>
  </si>
  <si>
    <t xml:space="preserve">Now defaults to the professional's real registered area instead of a hardcoded city.</t>
  </si>
  <si>
    <t xml:space="preserve">Shipped in the release build; not separately confirmed.</t>
  </si>
  <si>
    <t xml:space="preserve">Bell + Requests tab badge</t>
  </si>
  <si>
    <t xml:space="preserve">Counts outstanding SENT opportunities directly, not the notifications list.</t>
  </si>
  <si>
    <t xml:space="preserve">Referral popup (once per app open)</t>
  </si>
  <si>
    <t xml:space="preserve">Closeable via top-right X, links to the shared Refer &amp; Earn screen.</t>
  </si>
  <si>
    <t xml:space="preserve">Shipped in the release build; not separately confirmed the popup only fires once per app open.</t>
  </si>
  <si>
    <t xml:space="preserve">Opportunities</t>
  </si>
  <si>
    <t xml:space="preserve">Standard bid opportunity + submission</t>
  </si>
  <si>
    <t xml:space="preserve">Accept/Ignore card leads into full bid composition (price, materials, warranty etc).</t>
  </si>
  <si>
    <t xml:space="preserve">2026-09-08: the customer-side data-completeness fix (category/address/date/time-slot no longer dropped on submit -- see Customer App sheet) means bid opportunity cards should now show full request details; not yet re-confirmed live since that fix.</t>
  </si>
  <si>
    <t xml:space="preserve">Fixed-price opportunity card</t>
  </si>
  <si>
    <t xml:space="preserve">Accept or Ignore only, shows tier label and below-floor warning.</t>
  </si>
  <si>
    <t xml:space="preserve">Shipped in the release build. Also benefits from the 2026-09-08 customer-side data-completeness fix for the tier label / full details. Not yet walked through live.</t>
  </si>
  <si>
    <t xml:space="preserve">First-to-accept-wins race guard</t>
  </si>
  <si>
    <t xml:space="preserve">Transaction throws already-exists for the second professional to accept.</t>
  </si>
  <si>
    <t xml:space="preserve">The Cloud Function transaction logic this depends on was redeployed 2026-09-08 alongside the App Check fix (a full firebase deploy --only functions was run). The actual race-condition test (two professionals accepting at once) still hasn't been attempted.</t>
  </si>
  <si>
    <t xml:space="preserve">Job execution</t>
  </si>
  <si>
    <t xml:space="preserve">Job Details screen (real)</t>
  </si>
  <si>
    <t xml:space="preserve">Streams the real order, Start Job / Complete Job call real Cloud Functions.</t>
  </si>
  <si>
    <t xml:space="preserve">accepted_job_screen.dart (orphaned mock)</t>
  </si>
  <si>
    <t xml:space="preserve">Dead code, never navigated to. Decide: leave or delete.</t>
  </si>
  <si>
    <t xml:space="preserve">Withdraw from Job (150 rupee fee)</t>
  </si>
  <si>
    <t xml:space="preserve">Auto-deducted from wallet, order re-matched to other professionals.</t>
  </si>
  <si>
    <t xml:space="preserve">Job completion photos</t>
  </si>
  <si>
    <t xml:space="preserve">1 to 3 mandatory photos, enforced server-side, feeds public portfolio.</t>
  </si>
  <si>
    <t xml:space="preserve">In-job pickup escalation (Automobile / Appliances)</t>
  </si>
  <si>
    <t xml:space="preserve">Condition photos + OTP at pickup and delivery, 5-state sub-status chain. Rare exception path.</t>
  </si>
  <si>
    <t xml:space="preserve">Wallet / earnings</t>
  </si>
  <si>
    <t xml:space="preserve">Earnings screen</t>
  </si>
  <si>
    <t xml:space="preserve">Wired to real wallet_ledger; shows completed jobs, withdrawal-fee entries, referral-commission entries.</t>
  </si>
  <si>
    <t xml:space="preserve">Client is in the release build; the wallet-crediting Cloud Functions it depends on (completeJob, referral commission) were redeployed 2026-09-08. Not yet walked through live.</t>
  </si>
  <si>
    <t xml:space="preserve">Instant payout for orders &gt;= 5000 rupees + WhatsApp PDF</t>
  </si>
  <si>
    <t xml:space="preserve">Explicitly deferred trust-building feature.</t>
  </si>
  <si>
    <t xml:space="preserve">Profile tab</t>
  </si>
  <si>
    <t xml:space="preserve">My Skills</t>
  </si>
  <si>
    <t xml:space="preserve">Reads/writes real subcategoryIds against the real taxonomy, replacing an unrelated hardcoded list.</t>
  </si>
  <si>
    <t xml:space="preserve">Shipped in the release build; not separately confirmed on-device.</t>
  </si>
  <si>
    <t xml:space="preserve">Personal Details</t>
  </si>
  <si>
    <t xml:space="preserve">Real name/about/email prefilled, phone shown read-only.</t>
  </si>
  <si>
    <t xml:space="preserve">Verification Status (new, read-only)</t>
  </si>
  <si>
    <t xml:space="preserve">Shows real document/verified status without forcing re-upload.</t>
  </si>
  <si>
    <t xml:space="preserve">Service Area (rebuilt)</t>
  </si>
  <si>
    <t xml:space="preserve">Normal Profile-subscreen chrome, real location/radius prefill, use-current-location action.</t>
  </si>
  <si>
    <t xml:space="preserve">Profile completeness percentage</t>
  </si>
  <si>
    <t xml:space="preserve">Now computed from 5 real checks instead of a hardcoded 80 percent; weighting is a judgment call worth reviewing.</t>
  </si>
  <si>
    <t xml:space="preserve">Refer &amp; Earn screen</t>
  </si>
  <si>
    <t xml:space="preserve">Code display/share, reward explanation, stats, referred-professionals list.</t>
  </si>
  <si>
    <t xml:space="preserve">Same firestore.rules dependency as the referral-code entry above (row 12) -- the referred-professionals list / stats query may fail until that rules deploy runs.</t>
  </si>
  <si>
    <t xml:space="preserve">My Reviews screen</t>
  </si>
  <si>
    <t xml:space="preserve">Average rating, completed jobs, full review list.</t>
  </si>
  <si>
    <t xml:space="preserve">Conduct / training (onboarding gate)</t>
  </si>
  <si>
    <t xml:space="preserve">Tier 1: written conduct policy + agree step</t>
  </si>
  <si>
    <t xml:space="preserve">Single source-of-truth policy text with an explicit acknowledgment step.</t>
  </si>
  <si>
    <t xml:space="preserve">Tier 2: conduct video + completion tracking</t>
  </si>
  <si>
    <t xml:space="preserve">10-15 minute video narrating Tier 1 policy; quiz vs checkbox gating undecided.</t>
  </si>
  <si>
    <t xml:space="preserve">Tier 3: skill training (Helper Services + Beauty)</t>
  </si>
  <si>
    <t xml:space="preserve">Needs a qualified external content source; timing (pre vs post funding) undecided.</t>
  </si>
  <si>
    <t xml:space="preserve">Not yet built (professional side)</t>
  </si>
  <si>
    <t xml:space="preserve">OTP-to-start-job (professional side)</t>
  </si>
  <si>
    <t xml:space="preserve">Professional enters the customer-shared code to unlock Start Job.</t>
  </si>
  <si>
    <t xml:space="preserve">Admin panel</t>
  </si>
  <si>
    <t xml:space="preserve">Full UI replacing raw Firebase Console for operations.</t>
  </si>
  <si>
    <t xml:space="preserve">Real document verification flow</t>
  </si>
  <si>
    <t xml:space="preserve">Replacing the temporary isVerified auto-true stand-in.</t>
  </si>
  <si>
    <t xml:space="preserve">GPS en-route broadcast</t>
  </si>
  <si>
    <t xml:space="preserve">Professional's live location feed for the customer's tracking view.</t>
  </si>
  <si>
    <t xml:space="preserve">'No new requests' empty state (Requests tab)</t>
  </si>
  <si>
    <t xml:space="preserve">Shows an icon + 'No new requests' + explanatory text when there are no active opportunities.</t>
  </si>
  <si>
    <t xml:space="preserve">Harsh reported a blank white screen instead of this message after the recent Firestore data reset. Code reviewed line-by-line 2026-09-08 (professional_opportunities_screen.dart) -- the empty-state widget and its StreamBuilder branch are both correctly written, so this is very likely a stale installed build or a hot-reload glitch, not a code bug. Needs: flutter clean + a fresh release build/reinstall (or a full stop+restart if running via flutter run), then re-check.</t>
  </si>
  <si>
    <t xml:space="preserve">Habio launch QA checklist — Backend &amp; Shared Logic</t>
  </si>
  <si>
    <t xml:space="preserve">Matching &amp; bidding</t>
  </si>
  <si>
    <t xml:space="preserve">matchProfessionalsToRequest engine</t>
  </si>
  <si>
    <t xml:space="preserve">Core eligible-professional search + opportunity fan-out. Untouched through every recent change.</t>
  </si>
  <si>
    <t xml:space="preserve">Bid pipeline (bid_service.dart, opportunity docs)</t>
  </si>
  <si>
    <t xml:space="preserve">Bids stored as fields on the opportunity doc, not a separate collection.</t>
  </si>
  <si>
    <t xml:space="preserve">Order lifecycle Cloud Functions</t>
  </si>
  <si>
    <t xml:space="preserve">acceptBid / acceptFixedPriceOpportunity</t>
  </si>
  <si>
    <t xml:space="preserve">Creates the order doc, closes other opportunities, increments activeOrderCount.</t>
  </si>
  <si>
    <t xml:space="preserve">Confirmed working 2026-09-08 -- this was the function behind the 'Accept job' Unauthenticated bug; fixed by disabling App Check enforcement (see row below) and confirmed working afterward.</t>
  </si>
  <si>
    <t xml:space="preserve">startJob / completeJob</t>
  </si>
  <si>
    <t xml:space="preserve">Status transitions, mandatory completion photos, commission + referral crediting.</t>
  </si>
  <si>
    <t xml:space="preserve">cancelOrder / payCancellationFee (redesigned)</t>
  </si>
  <si>
    <t xml:space="preserve">Payment-gated split: order stays active until the fee is actually paid.</t>
  </si>
  <si>
    <t xml:space="preserve">Deployed via the 2026-09-08 firebase deploy --only functions run (done alongside the App Check fix) -- the earlier 'needs a deploy' blocker is cleared. Not yet live-tested.</t>
  </si>
  <si>
    <t xml:space="preserve">professionalWithdrawOrder</t>
  </si>
  <si>
    <t xml:space="preserve">Atomic withdrawal + re-match to other eligible professionals.</t>
  </si>
  <si>
    <t xml:space="preserve">raiseFixedPriceOrder</t>
  </si>
  <si>
    <t xml:space="preserve">Customer-initiated price raise, re-broadcasts via the existing matching function.</t>
  </si>
  <si>
    <t xml:space="preserve">This was the function behind the 'Raise price' Unauthenticated bug reported 2026-09-08 -- fixed by disabling App Check enforcement and confirmed working afterward ('Now it works').</t>
  </si>
  <si>
    <t xml:space="preserve">Referral commission crediting (in completeJob)</t>
  </si>
  <si>
    <t xml:space="preserve">1 percent of job fees excluding materials, credited to referrer, gated on 1-year window.</t>
  </si>
  <si>
    <t xml:space="preserve">Deployed via the same 2026-09-08 functions deploy. Still needs firebase deploy --only firestore:rules for the referral_codes rules before a real end-to-end referral test (two accounts) is possible.</t>
  </si>
  <si>
    <t xml:space="preserve">Notifications &amp; support</t>
  </si>
  <si>
    <t xml:space="preserve">createNotification on lifecycle events</t>
  </si>
  <si>
    <t xml:space="preserve">New opportunity, bid accepted/submitted, job started/completed, payment, review, cancellation.</t>
  </si>
  <si>
    <t xml:space="preserve">Support chat + admin console</t>
  </si>
  <si>
    <t xml:space="preserve">Standalone HTML admin tool, confirmed working end to end.</t>
  </si>
  <si>
    <t xml:space="preserve">Security &amp; infra</t>
  </si>
  <si>
    <t xml:space="preserve">Firestore rules (referral_codes, collection-group, admin gate)</t>
  </si>
  <si>
    <t xml:space="preserve">Latest additions not yet deployed.</t>
  </si>
  <si>
    <t xml:space="preserve">Needs firebase deploy --only firestore:rules. Still not deployed as of 2026-09-08 -- this is now the one blocker on the referral program actually working end-to-end (see the two rows above).</t>
  </si>
  <si>
    <t xml:space="preserve">App Check enforcement (9 callable functions)</t>
  </si>
  <si>
    <t xml:space="preserve">Code shipped with enforceAppCheck true on every callable function.</t>
  </si>
  <si>
    <t xml:space="preserve">Reversed 2026-09-08: enforceAppCheck was deliberately flipped from true to false on all 9 callable functions, because Play Integrity only validates a Play-Store-installed app and both apps are still sideloaded with no Play Console account yet -- with it left on, every one of these calls was failing before it even reached the function body, surfacing as a bare 'Unauthenticated' error. This change was deployed and confirmed to fix Accept Job / Raise Price. Re-enable once the company's Play Console account is registered (needs a D-U-N-S number) and the app is installed via its Internal Testing track -- this condition is saved to memory, not due yet.</t>
  </si>
  <si>
    <t xml:space="preserve">Android code shrinking + obfuscation (R8/ProGuard)</t>
  </si>
  <si>
    <t xml:space="preserve">Release build minify + resource shrink turned on both apps.</t>
  </si>
  <si>
    <t xml:space="preserve">In Progress</t>
  </si>
  <si>
    <t xml:space="preserve">Needs one real release build + full smoke test. The professional app's real release build (~2026-09-06/07) uses this build config (R8/ProGuard minify+shrink is the standard release setting). Core flows built on it (accept bid, raise price) have worked fine post-build, so nothing critical has broken so far -- but no dedicated full smoke test has been done yet.</t>
  </si>
  <si>
    <t xml:space="preserve">Dart obfuscation (build_release.bat)</t>
  </si>
  <si>
    <t xml:space="preserve">Obfuscated app bundle build script; symbols folder must be stored privately per release.</t>
  </si>
  <si>
    <t xml:space="preserve">The professional release APK built this week used a plain flutter build apk --release, not build_release.bat -- so Dart obfuscation specifically was NOT applied to that build. Still needs a build via the obfuscation script to actually test this item.</t>
  </si>
  <si>
    <t xml:space="preserve">Maps API key out of plaintext manifest</t>
  </si>
  <si>
    <t xml:space="preserve">Moved to gitignored secrets.properties per app.</t>
  </si>
  <si>
    <t xml:space="preserve">Still needs SHA-1 restriction on the key in Google Cloud Console.</t>
  </si>
  <si>
    <t xml:space="preserve">Data state</t>
  </si>
  <si>
    <t xml:space="preserve">Firestore fully wiped (2026-09-04 reset)</t>
  </si>
  <si>
    <t xml:space="preserve">No registered professionals, requests, orders, reviews, or wallet balances currently exist.</t>
  </si>
  <si>
    <t xml:space="preserve">Every test above needs fresh signups first. A further reset appears to have been requested again in early September (the same firebase firestore:delete --recursive --force instructions as the 2026-09-04 wipe, to be run by Harsh himself) -- not explicitly confirmed done in chat, but the professional app showing zero active opportunities during this week's testing is consistent with it having been carried out. Worth a quick confirmation.</t>
  </si>
  <si>
    <t xml:space="preserve">Additions since last QA pass (2026-09-08)</t>
  </si>
  <si>
    <t xml:space="preserve">onProfessionalAvailabilityChanged (re-match on availability ON)</t>
  </si>
  <si>
    <t xml:space="preserve">Previously, matching only ran once at request creation -- a professional toggled off when a request came in would never see it, even after toggling back on. New Cloud Function fires when a professional's isAvailable flips to true and fans out fresh opportunities for every still-open request they're eligible for (same capability/category/radius rules as the original matching engine), skipping anything they've already been shown or that's already been awarded.</t>
  </si>
  <si>
    <t xml:space="preserve">Added 2026-09-08 per Harsh's report. Needs firebase deploy --only functions, then a live test: toggle a professional off, submit a matching request as a customer, toggle the professional back on, confirm the request appears on their Requests tab within a few seconds.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</si>
</sst>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57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4"/>
      <color rgb="FF1557FF"/>
      <name val="Arial"/>
      <family val="0"/>
      <charset val="1"/>
    </font>
    <font>
      <b val="true"/>
      <sz val="11"/>
      <color rgb="FF0C447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557FF"/>
        <bgColor rgb="FF0066CC"/>
      </patternFill>
    </fill>
    <fill>
      <patternFill patternType="solid">
        <fgColor rgb="FFF7C1C1"/>
        <bgColor rgb="FFD3D1C7"/>
      </patternFill>
    </fill>
    <fill>
      <patternFill patternType="solid">
        <fgColor rgb="FFFAC775"/>
        <bgColor rgb="FFF7C1C1"/>
      </patternFill>
    </fill>
    <fill>
      <patternFill patternType="solid">
        <fgColor rgb="FFF0997B"/>
        <bgColor rgb="FFFAC775"/>
      </patternFill>
    </fill>
    <fill>
      <patternFill patternType="solid">
        <fgColor rgb="FFC0DD97"/>
        <bgColor rgb="FFD3D1C7"/>
      </patternFill>
    </fill>
    <fill>
      <patternFill patternType="solid">
        <fgColor rgb="FFD9E4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F0997B"/>
        </patternFill>
      </fill>
    </dxf>
    <dxf>
      <fill>
        <patternFill>
          <bgColor rgb="FFC0DD97"/>
        </patternFill>
      </fill>
    </dxf>
    <dxf>
      <fill>
        <patternFill>
          <bgColor rgb="FFD3D1C7"/>
        </patternFill>
      </fill>
    </dxf>
    <dxf>
      <font>
        <b val="1"/>
        <color rgb="FF791F1F"/>
      </font>
      <fill>
        <patternFill>
          <bgColor rgb="FFF7C1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D9E4FF"/>
      <rgbColor rgb="FF660066"/>
      <rgbColor rgb="FFF0997B"/>
      <rgbColor rgb="FF0066CC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1557FF"/>
      <rgbColor rgb="FF33CCCC"/>
      <rgbColor rgb="FF99CC00"/>
      <rgbColor rgb="FFFFCC00"/>
      <rgbColor rgb="FFFF9900"/>
      <rgbColor rgb="FFFF6600"/>
      <rgbColor rgb="FF6B7280"/>
      <rgbColor rgb="FF969696"/>
      <rgbColor rgb="FF0C447C"/>
      <rgbColor rgb="FF339966"/>
      <rgbColor rgb="FF003300"/>
      <rgbColor rgb="FF333300"/>
      <rgbColor rgb="FF79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26"/>
    <col collapsed="false" customWidth="true" hidden="false" outlineLevel="0" max="5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</row>
    <row r="4" customFormat="false" ht="27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</row>
    <row r="9" customFormat="false" ht="27.75" hidden="false" customHeight="true" outlineLevel="0" collapsed="false">
      <c r="A9" s="4" t="s">
        <v>7</v>
      </c>
      <c r="B9" s="4"/>
      <c r="C9" s="4"/>
      <c r="D9" s="4"/>
      <c r="E9" s="4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</row>
    <row r="12" customFormat="false" ht="15" hidden="false" customHeight="true" outlineLevel="0" collapsed="false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</row>
    <row r="13" customFormat="false" ht="15" hidden="false" customHeight="true" outlineLevel="0" collapsed="false">
      <c r="A13" s="7" t="s">
        <v>14</v>
      </c>
      <c r="B13" s="8" t="n">
        <f aca="false">COUNTIF('Customer App'!D:D,A13)</f>
        <v>8</v>
      </c>
      <c r="C13" s="8" t="n">
        <f aca="false">COUNTIF('Professional App'!D:D,A13)</f>
        <v>10</v>
      </c>
      <c r="D13" s="8" t="n">
        <f aca="false">COUNTIF('Backend &amp; Shared Logic'!D:D,A13)</f>
        <v>0</v>
      </c>
      <c r="E13" s="8" t="n">
        <f aca="false">SUM(B13:D13)</f>
        <v>18</v>
      </c>
    </row>
    <row r="14" customFormat="false" ht="15" hidden="false" customHeight="true" outlineLevel="0" collapsed="false">
      <c r="A14" s="9" t="s">
        <v>15</v>
      </c>
      <c r="B14" s="8" t="n">
        <f aca="false">COUNTIF('Customer App'!D:D,A14)</f>
        <v>9</v>
      </c>
      <c r="C14" s="8" t="n">
        <f aca="false">COUNTIF('Professional App'!D:D,A14)</f>
        <v>2</v>
      </c>
      <c r="D14" s="8" t="n">
        <f aca="false">COUNTIF('Backend &amp; Shared Logic'!D:D,A14)</f>
        <v>4</v>
      </c>
      <c r="E14" s="8" t="n">
        <f aca="false">SUM(B14:D14)</f>
        <v>15</v>
      </c>
    </row>
    <row r="15" customFormat="false" ht="15" hidden="false" customHeight="true" outlineLevel="0" collapsed="false">
      <c r="A15" s="10" t="s">
        <v>16</v>
      </c>
      <c r="B15" s="8" t="n">
        <f aca="false">COUNTIF('Customer App'!D:D,A15)</f>
        <v>1</v>
      </c>
      <c r="C15" s="8" t="n">
        <f aca="false">COUNTIF('Professional App'!D:D,A15)</f>
        <v>15</v>
      </c>
      <c r="D15" s="8" t="n">
        <f aca="false">COUNTIF('Backend &amp; Shared Logic'!D:D,A15)</f>
        <v>3</v>
      </c>
      <c r="E15" s="8" t="n">
        <f aca="false">SUM(B15:D15)</f>
        <v>19</v>
      </c>
    </row>
    <row r="16" customFormat="false" ht="15" hidden="false" customHeight="true" outlineLevel="0" collapsed="false">
      <c r="A16" s="11" t="s">
        <v>17</v>
      </c>
      <c r="B16" s="8" t="n">
        <f aca="false">COUNTIF('Customer App'!D:D,A16)</f>
        <v>18</v>
      </c>
      <c r="C16" s="8" t="n">
        <f aca="false">COUNTIF('Professional App'!D:D,A16)</f>
        <v>11</v>
      </c>
      <c r="D16" s="8" t="n">
        <f aca="false">COUNTIF('Backend &amp; Shared Logic'!D:D,A16)</f>
        <v>10</v>
      </c>
      <c r="E16" s="8" t="n">
        <f aca="false">SUM(B16:D16)</f>
        <v>39</v>
      </c>
    </row>
    <row r="17" customFormat="false" ht="15" hidden="false" customHeight="true" outlineLevel="0" collapsed="false">
      <c r="A17" s="12" t="s">
        <v>18</v>
      </c>
      <c r="B17" s="12" t="n">
        <f aca="false">SUM(B13:B16)</f>
        <v>36</v>
      </c>
      <c r="C17" s="12" t="n">
        <f aca="false">SUM(C13:C16)</f>
        <v>38</v>
      </c>
      <c r="D17" s="12" t="n">
        <f aca="false">SUM(D13:D16)</f>
        <v>17</v>
      </c>
      <c r="E17" s="12" t="n">
        <f aca="false">SUM(E13:E16)</f>
        <v>91</v>
      </c>
    </row>
    <row r="19" customFormat="false" ht="15" hidden="false" customHeight="true" outlineLevel="0" collapsed="false">
      <c r="A19" s="5" t="s">
        <v>19</v>
      </c>
      <c r="B19" s="5"/>
      <c r="C19" s="5"/>
      <c r="D19" s="5"/>
      <c r="E19" s="5"/>
    </row>
    <row r="20" customFormat="false" ht="26.25" hidden="false" customHeight="true" outlineLevel="0" collapsed="false">
      <c r="A20" s="6" t="s">
        <v>20</v>
      </c>
      <c r="B20" s="6" t="s">
        <v>21</v>
      </c>
      <c r="C20" s="6" t="s">
        <v>22</v>
      </c>
    </row>
    <row r="21" customFormat="false" ht="15" hidden="false" customHeight="true" outlineLevel="0" collapsed="false">
      <c r="A21" s="13" t="s">
        <v>10</v>
      </c>
      <c r="B21" s="8" t="n">
        <f aca="false">COUNTIF('Customer App'!F:F,"Launch Blocker")</f>
        <v>9</v>
      </c>
      <c r="C21" s="8" t="n">
        <f aca="false">COUNTIFS('Customer App'!F:F,"Launch Blocker",'Customer App'!D:D,"Not Built")+COUNTIFS('Customer App'!F:F,"Launch Blocker",'Customer App'!D:D,"Built - Not Tested")+COUNTIFS('Customer App'!F:F,"Launch Blocker",'Customer App'!D:D,"Deployed - Not Tested")</f>
        <v>9</v>
      </c>
    </row>
    <row r="22" customFormat="false" ht="15" hidden="false" customHeight="true" outlineLevel="0" collapsed="false">
      <c r="A22" s="13" t="s">
        <v>11</v>
      </c>
      <c r="B22" s="8" t="n">
        <f aca="false">COUNTIF('Professional App'!F:F,"Launch Blocker")</f>
        <v>5</v>
      </c>
      <c r="C22" s="8" t="n">
        <f aca="false">COUNTIFS('Professional App'!F:F,"Launch Blocker",'Professional App'!D:D,"Not Built")+COUNTIFS('Professional App'!F:F,"Launch Blocker",'Professional App'!D:D,"Built - Not Tested")+COUNTIFS('Professional App'!F:F,"Launch Blocker",'Professional App'!D:D,"Deployed - Not Tested")</f>
        <v>5</v>
      </c>
    </row>
    <row r="23" customFormat="false" ht="15" hidden="false" customHeight="true" outlineLevel="0" collapsed="false">
      <c r="A23" s="13" t="s">
        <v>12</v>
      </c>
      <c r="B23" s="8" t="n">
        <f aca="false">COUNTIF('Backend &amp; Shared Logic'!F:F,"Launch Blocker")</f>
        <v>7</v>
      </c>
      <c r="C23" s="8" t="n">
        <f aca="false">COUNTIFS('Backend &amp; Shared Logic'!F:F,"Launch Blocker",'Backend &amp; Shared Logic'!D:D,"Not Built")+COUNTIFS('Backend &amp; Shared Logic'!F:F,"Launch Blocker",'Backend &amp; Shared Logic'!D:D,"Built - Not Tested")+COUNTIFS('Backend &amp; Shared Logic'!F:F,"Launch Blocker",'Backend &amp; Shared Logic'!D:D,"Deployed - Not Tested")</f>
        <v>2</v>
      </c>
    </row>
    <row r="25" customFormat="false" ht="30" hidden="false" customHeight="true" outlineLevel="0" collapsed="false">
      <c r="A25" s="14" t="s">
        <v>23</v>
      </c>
      <c r="B25" s="14"/>
      <c r="C25" s="14"/>
      <c r="D25" s="14"/>
      <c r="E25" s="14"/>
    </row>
  </sheetData>
  <mergeCells count="10">
    <mergeCell ref="A1:E1"/>
    <mergeCell ref="A4:E4"/>
    <mergeCell ref="A5:E5"/>
    <mergeCell ref="A6:E6"/>
    <mergeCell ref="A7:E7"/>
    <mergeCell ref="A8:E8"/>
    <mergeCell ref="A9:E9"/>
    <mergeCell ref="A11:E11"/>
    <mergeCell ref="A19:E19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40"/>
  </cols>
  <sheetData>
    <row r="1" customFormat="false" ht="25.5" hidden="false" customHeight="true" outlineLevel="0" collapsed="false">
      <c r="A1" s="15" t="s">
        <v>24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6" t="s">
        <v>25</v>
      </c>
      <c r="B2" s="6" t="s">
        <v>26</v>
      </c>
      <c r="C2" s="6" t="s">
        <v>27</v>
      </c>
      <c r="D2" s="6" t="s">
        <v>9</v>
      </c>
      <c r="E2" s="6" t="s">
        <v>28</v>
      </c>
      <c r="F2" s="6" t="s">
        <v>29</v>
      </c>
      <c r="G2" s="6" t="s">
        <v>30</v>
      </c>
    </row>
    <row r="3" customFormat="false" ht="18" hidden="false" customHeight="true" outlineLevel="0" collapsed="false">
      <c r="A3" s="16" t="s">
        <v>31</v>
      </c>
      <c r="B3" s="16"/>
      <c r="C3" s="16"/>
      <c r="D3" s="16"/>
      <c r="E3" s="16"/>
      <c r="F3" s="16"/>
      <c r="G3" s="16"/>
    </row>
    <row r="4" customFormat="false" ht="30" hidden="false" customHeight="true" outlineLevel="0" collapsed="false">
      <c r="A4" s="8"/>
      <c r="B4" s="17" t="s">
        <v>32</v>
      </c>
      <c r="C4" s="17" t="s">
        <v>33</v>
      </c>
      <c r="D4" s="18" t="s">
        <v>17</v>
      </c>
      <c r="E4" s="18" t="s">
        <v>34</v>
      </c>
      <c r="F4" s="18" t="s">
        <v>35</v>
      </c>
      <c r="G4" s="17"/>
    </row>
    <row r="5" customFormat="false" ht="30" hidden="false" customHeight="true" outlineLevel="0" collapsed="false">
      <c r="A5" s="8"/>
      <c r="B5" s="17" t="s">
        <v>36</v>
      </c>
      <c r="C5" s="17" t="s">
        <v>37</v>
      </c>
      <c r="D5" s="18" t="s">
        <v>17</v>
      </c>
      <c r="E5" s="18" t="s">
        <v>38</v>
      </c>
      <c r="F5" s="18" t="s">
        <v>39</v>
      </c>
      <c r="G5" s="17"/>
    </row>
    <row r="6" customFormat="false" ht="30" hidden="false" customHeight="true" outlineLevel="0" collapsed="false">
      <c r="A6" s="8"/>
      <c r="B6" s="17" t="s">
        <v>40</v>
      </c>
      <c r="C6" s="17" t="s">
        <v>41</v>
      </c>
      <c r="D6" s="18" t="s">
        <v>17</v>
      </c>
      <c r="E6" s="18" t="s">
        <v>34</v>
      </c>
      <c r="F6" s="18" t="s">
        <v>39</v>
      </c>
      <c r="G6" s="17" t="s">
        <v>42</v>
      </c>
    </row>
    <row r="7" customFormat="false" ht="18" hidden="false" customHeight="true" outlineLevel="0" collapsed="false">
      <c r="A7" s="16" t="s">
        <v>43</v>
      </c>
      <c r="B7" s="16"/>
      <c r="C7" s="16"/>
      <c r="D7" s="16"/>
      <c r="E7" s="16"/>
      <c r="F7" s="16"/>
      <c r="G7" s="16"/>
    </row>
    <row r="8" customFormat="false" ht="30" hidden="false" customHeight="true" outlineLevel="0" collapsed="false">
      <c r="A8" s="8"/>
      <c r="B8" s="17" t="s">
        <v>44</v>
      </c>
      <c r="C8" s="17" t="s">
        <v>45</v>
      </c>
      <c r="D8" s="18" t="s">
        <v>15</v>
      </c>
      <c r="E8" s="18" t="s">
        <v>38</v>
      </c>
      <c r="F8" s="18" t="s">
        <v>46</v>
      </c>
      <c r="G8" s="17"/>
    </row>
    <row r="9" customFormat="false" ht="30" hidden="false" customHeight="true" outlineLevel="0" collapsed="false">
      <c r="A9" s="8"/>
      <c r="B9" s="17" t="s">
        <v>47</v>
      </c>
      <c r="C9" s="17" t="s">
        <v>48</v>
      </c>
      <c r="D9" s="18" t="s">
        <v>15</v>
      </c>
      <c r="E9" s="18" t="s">
        <v>38</v>
      </c>
      <c r="F9" s="18" t="s">
        <v>46</v>
      </c>
      <c r="G9" s="17"/>
    </row>
    <row r="10" customFormat="false" ht="30" hidden="false" customHeight="true" outlineLevel="0" collapsed="false">
      <c r="A10" s="8"/>
      <c r="B10" s="17" t="s">
        <v>49</v>
      </c>
      <c r="C10" s="17" t="s">
        <v>50</v>
      </c>
      <c r="D10" s="18" t="s">
        <v>14</v>
      </c>
      <c r="E10" s="18" t="s">
        <v>38</v>
      </c>
      <c r="F10" s="18" t="s">
        <v>39</v>
      </c>
      <c r="G10" s="17"/>
    </row>
    <row r="11" customFormat="false" ht="30" hidden="false" customHeight="true" outlineLevel="0" collapsed="false">
      <c r="A11" s="8"/>
      <c r="B11" s="17" t="s">
        <v>51</v>
      </c>
      <c r="C11" s="17" t="s">
        <v>52</v>
      </c>
      <c r="D11" s="18" t="s">
        <v>14</v>
      </c>
      <c r="E11" s="18" t="s">
        <v>38</v>
      </c>
      <c r="F11" s="18" t="s">
        <v>39</v>
      </c>
      <c r="G11" s="17"/>
    </row>
    <row r="12" customFormat="false" ht="30" hidden="false" customHeight="true" outlineLevel="0" collapsed="false">
      <c r="A12" s="8"/>
      <c r="B12" s="17" t="s">
        <v>53</v>
      </c>
      <c r="C12" s="17" t="s">
        <v>54</v>
      </c>
      <c r="D12" s="18" t="s">
        <v>17</v>
      </c>
      <c r="E12" s="18" t="s">
        <v>38</v>
      </c>
      <c r="F12" s="18" t="s">
        <v>35</v>
      </c>
      <c r="G12" s="17"/>
    </row>
    <row r="13" customFormat="false" ht="18" hidden="false" customHeight="true" outlineLevel="0" collapsed="false">
      <c r="A13" s="16" t="s">
        <v>55</v>
      </c>
      <c r="B13" s="16"/>
      <c r="C13" s="16"/>
      <c r="D13" s="16"/>
      <c r="E13" s="16"/>
      <c r="F13" s="16"/>
      <c r="G13" s="16"/>
    </row>
    <row r="14" customFormat="false" ht="30" hidden="false" customHeight="true" outlineLevel="0" collapsed="false">
      <c r="A14" s="8"/>
      <c r="B14" s="17" t="s">
        <v>56</v>
      </c>
      <c r="C14" s="17" t="s">
        <v>57</v>
      </c>
      <c r="D14" s="18" t="s">
        <v>15</v>
      </c>
      <c r="E14" s="18" t="s">
        <v>38</v>
      </c>
      <c r="F14" s="18" t="s">
        <v>46</v>
      </c>
      <c r="G14" s="17"/>
    </row>
    <row r="15" customFormat="false" ht="30" hidden="false" customHeight="true" outlineLevel="0" collapsed="false">
      <c r="A15" s="8"/>
      <c r="B15" s="17" t="s">
        <v>58</v>
      </c>
      <c r="C15" s="17" t="s">
        <v>59</v>
      </c>
      <c r="D15" s="18" t="s">
        <v>17</v>
      </c>
      <c r="E15" s="18" t="s">
        <v>38</v>
      </c>
      <c r="F15" s="18" t="s">
        <v>35</v>
      </c>
      <c r="G15" s="17"/>
    </row>
    <row r="16" customFormat="false" ht="30" hidden="false" customHeight="true" outlineLevel="0" collapsed="false">
      <c r="A16" s="8"/>
      <c r="B16" s="17" t="s">
        <v>60</v>
      </c>
      <c r="C16" s="17" t="s">
        <v>61</v>
      </c>
      <c r="D16" s="18" t="s">
        <v>17</v>
      </c>
      <c r="E16" s="18" t="s">
        <v>38</v>
      </c>
      <c r="F16" s="18" t="s">
        <v>35</v>
      </c>
      <c r="G16" s="17"/>
    </row>
    <row r="17" customFormat="false" ht="30" hidden="false" customHeight="true" outlineLevel="0" collapsed="false">
      <c r="A17" s="8"/>
      <c r="B17" s="17" t="s">
        <v>62</v>
      </c>
      <c r="C17" s="17" t="s">
        <v>63</v>
      </c>
      <c r="D17" s="18" t="s">
        <v>15</v>
      </c>
      <c r="E17" s="18" t="s">
        <v>38</v>
      </c>
      <c r="F17" s="18" t="s">
        <v>46</v>
      </c>
      <c r="G17" s="17"/>
    </row>
    <row r="18" customFormat="false" ht="30" hidden="false" customHeight="true" outlineLevel="0" collapsed="false">
      <c r="A18" s="8"/>
      <c r="B18" s="17" t="s">
        <v>64</v>
      </c>
      <c r="C18" s="17" t="s">
        <v>65</v>
      </c>
      <c r="D18" s="18" t="s">
        <v>17</v>
      </c>
      <c r="E18" s="18" t="s">
        <v>38</v>
      </c>
      <c r="F18" s="18" t="s">
        <v>39</v>
      </c>
      <c r="G18" s="17" t="s">
        <v>66</v>
      </c>
    </row>
    <row r="19" customFormat="false" ht="30" hidden="false" customHeight="true" outlineLevel="0" collapsed="false">
      <c r="A19" s="8"/>
      <c r="B19" s="17" t="s">
        <v>67</v>
      </c>
      <c r="C19" s="17" t="s">
        <v>68</v>
      </c>
      <c r="D19" s="18" t="s">
        <v>17</v>
      </c>
      <c r="E19" s="18" t="s">
        <v>38</v>
      </c>
      <c r="F19" s="18" t="s">
        <v>35</v>
      </c>
      <c r="G19" s="17"/>
    </row>
    <row r="20" customFormat="false" ht="30" hidden="false" customHeight="true" outlineLevel="0" collapsed="false">
      <c r="A20" s="8"/>
      <c r="B20" s="17" t="s">
        <v>69</v>
      </c>
      <c r="C20" s="17" t="s">
        <v>70</v>
      </c>
      <c r="D20" s="18" t="s">
        <v>17</v>
      </c>
      <c r="E20" s="18" t="s">
        <v>38</v>
      </c>
      <c r="F20" s="18" t="s">
        <v>71</v>
      </c>
      <c r="G20" s="17"/>
    </row>
    <row r="21" customFormat="false" ht="18" hidden="false" customHeight="true" outlineLevel="0" collapsed="false">
      <c r="A21" s="16" t="s">
        <v>72</v>
      </c>
      <c r="B21" s="16"/>
      <c r="C21" s="16"/>
      <c r="D21" s="16"/>
      <c r="E21" s="16"/>
      <c r="F21" s="16"/>
      <c r="G21" s="16"/>
    </row>
    <row r="22" customFormat="false" ht="30" hidden="false" customHeight="true" outlineLevel="0" collapsed="false">
      <c r="A22" s="8"/>
      <c r="B22" s="17" t="s">
        <v>73</v>
      </c>
      <c r="C22" s="17" t="s">
        <v>74</v>
      </c>
      <c r="D22" s="18" t="s">
        <v>15</v>
      </c>
      <c r="E22" s="18" t="s">
        <v>38</v>
      </c>
      <c r="F22" s="18" t="s">
        <v>46</v>
      </c>
      <c r="G22" s="17"/>
    </row>
    <row r="23" customFormat="false" ht="30" hidden="false" customHeight="true" outlineLevel="0" collapsed="false">
      <c r="A23" s="8"/>
      <c r="B23" s="17" t="s">
        <v>75</v>
      </c>
      <c r="C23" s="17" t="s">
        <v>76</v>
      </c>
      <c r="D23" s="18" t="s">
        <v>17</v>
      </c>
      <c r="E23" s="18" t="s">
        <v>38</v>
      </c>
      <c r="F23" s="18" t="s">
        <v>35</v>
      </c>
      <c r="G23" s="17"/>
    </row>
    <row r="24" customFormat="false" ht="30" hidden="false" customHeight="true" outlineLevel="0" collapsed="false">
      <c r="A24" s="8"/>
      <c r="B24" s="17" t="s">
        <v>77</v>
      </c>
      <c r="C24" s="17" t="s">
        <v>78</v>
      </c>
      <c r="D24" s="18" t="s">
        <v>17</v>
      </c>
      <c r="E24" s="18" t="s">
        <v>38</v>
      </c>
      <c r="F24" s="18" t="s">
        <v>39</v>
      </c>
      <c r="G24" s="17"/>
    </row>
    <row r="25" customFormat="false" ht="30" hidden="false" customHeight="true" outlineLevel="0" collapsed="false">
      <c r="A25" s="8"/>
      <c r="B25" s="17" t="s">
        <v>79</v>
      </c>
      <c r="C25" s="17" t="s">
        <v>80</v>
      </c>
      <c r="D25" s="18" t="s">
        <v>15</v>
      </c>
      <c r="E25" s="18" t="s">
        <v>38</v>
      </c>
      <c r="F25" s="18" t="s">
        <v>39</v>
      </c>
      <c r="G25" s="17"/>
    </row>
    <row r="26" customFormat="false" ht="30" hidden="false" customHeight="true" outlineLevel="0" collapsed="false">
      <c r="A26" s="8"/>
      <c r="B26" s="17" t="s">
        <v>81</v>
      </c>
      <c r="C26" s="17" t="s">
        <v>82</v>
      </c>
      <c r="D26" s="18" t="s">
        <v>15</v>
      </c>
      <c r="E26" s="18" t="s">
        <v>38</v>
      </c>
      <c r="F26" s="18" t="s">
        <v>46</v>
      </c>
      <c r="G26" s="17"/>
    </row>
    <row r="27" customFormat="false" ht="18" hidden="false" customHeight="true" outlineLevel="0" collapsed="false">
      <c r="A27" s="16" t="s">
        <v>83</v>
      </c>
      <c r="B27" s="16"/>
      <c r="C27" s="16"/>
      <c r="D27" s="16"/>
      <c r="E27" s="16"/>
      <c r="F27" s="16"/>
      <c r="G27" s="16"/>
    </row>
    <row r="28" customFormat="false" ht="30" hidden="false" customHeight="true" outlineLevel="0" collapsed="false">
      <c r="A28" s="8"/>
      <c r="B28" s="17" t="s">
        <v>84</v>
      </c>
      <c r="C28" s="17" t="s">
        <v>85</v>
      </c>
      <c r="D28" s="18" t="s">
        <v>17</v>
      </c>
      <c r="E28" s="18" t="s">
        <v>38</v>
      </c>
      <c r="F28" s="18" t="s">
        <v>71</v>
      </c>
      <c r="G28" s="17"/>
    </row>
    <row r="29" customFormat="false" ht="30" hidden="false" customHeight="true" outlineLevel="0" collapsed="false">
      <c r="A29" s="8"/>
      <c r="B29" s="17" t="s">
        <v>86</v>
      </c>
      <c r="C29" s="17" t="s">
        <v>87</v>
      </c>
      <c r="D29" s="18" t="s">
        <v>16</v>
      </c>
      <c r="E29" s="18" t="s">
        <v>38</v>
      </c>
      <c r="F29" s="18" t="s">
        <v>46</v>
      </c>
      <c r="G29" s="17" t="s">
        <v>88</v>
      </c>
    </row>
    <row r="30" customFormat="false" ht="30" hidden="false" customHeight="true" outlineLevel="0" collapsed="false">
      <c r="A30" s="8"/>
      <c r="B30" s="17" t="s">
        <v>89</v>
      </c>
      <c r="C30" s="17" t="s">
        <v>90</v>
      </c>
      <c r="D30" s="18" t="s">
        <v>17</v>
      </c>
      <c r="E30" s="18" t="s">
        <v>34</v>
      </c>
      <c r="F30" s="18" t="s">
        <v>39</v>
      </c>
      <c r="G30" s="17"/>
    </row>
    <row r="31" customFormat="false" ht="30" hidden="false" customHeight="true" outlineLevel="0" collapsed="false">
      <c r="A31" s="8"/>
      <c r="B31" s="17" t="s">
        <v>91</v>
      </c>
      <c r="C31" s="17" t="s">
        <v>92</v>
      </c>
      <c r="D31" s="18" t="s">
        <v>17</v>
      </c>
      <c r="E31" s="18" t="s">
        <v>38</v>
      </c>
      <c r="F31" s="18" t="s">
        <v>35</v>
      </c>
      <c r="G31" s="17"/>
    </row>
    <row r="32" customFormat="false" ht="18" hidden="false" customHeight="true" outlineLevel="0" collapsed="false">
      <c r="A32" s="16" t="s">
        <v>93</v>
      </c>
      <c r="B32" s="16"/>
      <c r="C32" s="16"/>
      <c r="D32" s="16"/>
      <c r="E32" s="16"/>
      <c r="F32" s="16"/>
      <c r="G32" s="16"/>
    </row>
    <row r="33" customFormat="false" ht="30" hidden="false" customHeight="true" outlineLevel="0" collapsed="false">
      <c r="A33" s="8"/>
      <c r="B33" s="17" t="s">
        <v>94</v>
      </c>
      <c r="C33" s="17" t="s">
        <v>95</v>
      </c>
      <c r="D33" s="18" t="s">
        <v>17</v>
      </c>
      <c r="E33" s="18" t="s">
        <v>38</v>
      </c>
      <c r="F33" s="18" t="s">
        <v>39</v>
      </c>
      <c r="G33" s="17"/>
    </row>
    <row r="34" customFormat="false" ht="30" hidden="false" customHeight="true" outlineLevel="0" collapsed="false">
      <c r="A34" s="8"/>
      <c r="B34" s="17" t="s">
        <v>96</v>
      </c>
      <c r="C34" s="17" t="s">
        <v>97</v>
      </c>
      <c r="D34" s="18" t="s">
        <v>15</v>
      </c>
      <c r="E34" s="18" t="s">
        <v>38</v>
      </c>
      <c r="F34" s="18" t="s">
        <v>71</v>
      </c>
      <c r="G34" s="17"/>
    </row>
    <row r="35" customFormat="false" ht="30" hidden="false" customHeight="true" outlineLevel="0" collapsed="false">
      <c r="A35" s="8"/>
      <c r="B35" s="17" t="s">
        <v>98</v>
      </c>
      <c r="C35" s="17" t="s">
        <v>99</v>
      </c>
      <c r="D35" s="18" t="s">
        <v>17</v>
      </c>
      <c r="E35" s="18" t="s">
        <v>38</v>
      </c>
      <c r="F35" s="18" t="s">
        <v>35</v>
      </c>
      <c r="G35" s="17"/>
    </row>
    <row r="36" customFormat="false" ht="18" hidden="false" customHeight="true" outlineLevel="0" collapsed="false">
      <c r="A36" s="16" t="s">
        <v>100</v>
      </c>
      <c r="B36" s="16"/>
      <c r="C36" s="16"/>
      <c r="D36" s="16"/>
      <c r="E36" s="16"/>
      <c r="F36" s="16"/>
      <c r="G36" s="16"/>
    </row>
    <row r="37" customFormat="false" ht="30" hidden="false" customHeight="true" outlineLevel="0" collapsed="false">
      <c r="A37" s="8"/>
      <c r="B37" s="17" t="s">
        <v>101</v>
      </c>
      <c r="C37" s="17" t="s">
        <v>102</v>
      </c>
      <c r="D37" s="18" t="s">
        <v>17</v>
      </c>
      <c r="E37" s="18" t="s">
        <v>34</v>
      </c>
      <c r="F37" s="18" t="s">
        <v>35</v>
      </c>
      <c r="G37" s="17"/>
    </row>
    <row r="38" customFormat="false" ht="30" hidden="false" customHeight="true" outlineLevel="0" collapsed="false">
      <c r="A38" s="8"/>
      <c r="B38" s="17" t="s">
        <v>103</v>
      </c>
      <c r="C38" s="17" t="s">
        <v>104</v>
      </c>
      <c r="D38" s="18" t="s">
        <v>17</v>
      </c>
      <c r="E38" s="18" t="s">
        <v>38</v>
      </c>
      <c r="F38" s="18" t="s">
        <v>35</v>
      </c>
      <c r="G38" s="17"/>
    </row>
    <row r="39" customFormat="false" ht="18" hidden="false" customHeight="true" outlineLevel="0" collapsed="false">
      <c r="A39" s="16" t="s">
        <v>105</v>
      </c>
      <c r="B39" s="16"/>
      <c r="C39" s="16"/>
      <c r="D39" s="16"/>
      <c r="E39" s="16"/>
      <c r="F39" s="16"/>
      <c r="G39" s="16"/>
    </row>
    <row r="40" customFormat="false" ht="30" hidden="false" customHeight="true" outlineLevel="0" collapsed="false">
      <c r="A40" s="8"/>
      <c r="B40" s="17" t="s">
        <v>106</v>
      </c>
      <c r="C40" s="17" t="s">
        <v>107</v>
      </c>
      <c r="D40" s="18" t="s">
        <v>14</v>
      </c>
      <c r="E40" s="18" t="s">
        <v>38</v>
      </c>
      <c r="F40" s="18" t="s">
        <v>71</v>
      </c>
      <c r="G40" s="17"/>
    </row>
    <row r="41" customFormat="false" ht="30" hidden="false" customHeight="true" outlineLevel="0" collapsed="false">
      <c r="A41" s="8"/>
      <c r="B41" s="17" t="s">
        <v>108</v>
      </c>
      <c r="C41" s="17" t="s">
        <v>109</v>
      </c>
      <c r="D41" s="18" t="s">
        <v>14</v>
      </c>
      <c r="E41" s="18" t="s">
        <v>38</v>
      </c>
      <c r="F41" s="18" t="s">
        <v>71</v>
      </c>
      <c r="G41" s="17"/>
    </row>
    <row r="42" customFormat="false" ht="30" hidden="false" customHeight="true" outlineLevel="0" collapsed="false">
      <c r="A42" s="8"/>
      <c r="B42" s="17" t="s">
        <v>110</v>
      </c>
      <c r="C42" s="17" t="s">
        <v>111</v>
      </c>
      <c r="D42" s="18" t="s">
        <v>14</v>
      </c>
      <c r="E42" s="18" t="s">
        <v>38</v>
      </c>
      <c r="F42" s="18" t="s">
        <v>46</v>
      </c>
      <c r="G42" s="17"/>
    </row>
    <row r="43" customFormat="false" ht="30" hidden="false" customHeight="true" outlineLevel="0" collapsed="false">
      <c r="A43" s="8"/>
      <c r="B43" s="17" t="s">
        <v>112</v>
      </c>
      <c r="C43" s="17" t="s">
        <v>113</v>
      </c>
      <c r="D43" s="18" t="s">
        <v>14</v>
      </c>
      <c r="E43" s="18" t="s">
        <v>38</v>
      </c>
      <c r="F43" s="18" t="s">
        <v>39</v>
      </c>
      <c r="G43" s="17"/>
    </row>
    <row r="44" customFormat="false" ht="30" hidden="false" customHeight="true" outlineLevel="0" collapsed="false">
      <c r="A44" s="8"/>
      <c r="B44" s="17" t="s">
        <v>114</v>
      </c>
      <c r="C44" s="17" t="s">
        <v>115</v>
      </c>
      <c r="D44" s="18" t="s">
        <v>14</v>
      </c>
      <c r="E44" s="18" t="s">
        <v>38</v>
      </c>
      <c r="F44" s="18" t="s">
        <v>39</v>
      </c>
      <c r="G44" s="17"/>
    </row>
    <row r="45" customFormat="false" ht="30" hidden="false" customHeight="true" outlineLevel="0" collapsed="false">
      <c r="A45" s="8"/>
      <c r="B45" s="17" t="s">
        <v>116</v>
      </c>
      <c r="C45" s="17" t="s">
        <v>117</v>
      </c>
      <c r="D45" s="18" t="s">
        <v>14</v>
      </c>
      <c r="E45" s="18" t="s">
        <v>38</v>
      </c>
      <c r="F45" s="18" t="s">
        <v>39</v>
      </c>
      <c r="G45" s="17"/>
    </row>
    <row r="46" customFormat="false" ht="18" hidden="false" customHeight="true" outlineLevel="0" collapsed="false">
      <c r="A46" s="16" t="s">
        <v>118</v>
      </c>
      <c r="B46" s="16"/>
      <c r="C46" s="16"/>
      <c r="D46" s="16"/>
      <c r="E46" s="16"/>
      <c r="F46" s="16"/>
      <c r="G46" s="16"/>
    </row>
    <row r="47" customFormat="false" ht="68.65" hidden="false" customHeight="false" outlineLevel="0" collapsed="false">
      <c r="A47" s="8"/>
      <c r="B47" s="17" t="s">
        <v>119</v>
      </c>
      <c r="C47" s="17" t="s">
        <v>120</v>
      </c>
      <c r="D47" s="18" t="s">
        <v>15</v>
      </c>
      <c r="E47" s="18" t="s">
        <v>38</v>
      </c>
      <c r="F47" s="18" t="s">
        <v>46</v>
      </c>
      <c r="G47" s="17" t="s">
        <v>121</v>
      </c>
    </row>
  </sheetData>
  <mergeCells count="10">
    <mergeCell ref="A1:G1"/>
    <mergeCell ref="A3:G3"/>
    <mergeCell ref="A7:G7"/>
    <mergeCell ref="A13:G13"/>
    <mergeCell ref="A21:G21"/>
    <mergeCell ref="A27:G27"/>
    <mergeCell ref="A32:G32"/>
    <mergeCell ref="A36:G36"/>
    <mergeCell ref="A39:G39"/>
    <mergeCell ref="A46:G46"/>
  </mergeCells>
  <conditionalFormatting sqref="D4:D47">
    <cfRule type="cellIs" priority="2" operator="equal" aboveAverage="0" equalAverage="0" bottom="0" percent="0" rank="0" text="" dxfId="0">
      <formula>"Not Built"</formula>
    </cfRule>
    <cfRule type="cellIs" priority="3" operator="equal" aboveAverage="0" equalAverage="0" bottom="0" percent="0" rank="0" text="" dxfId="1">
      <formula>"Built - Not Tested"</formula>
    </cfRule>
    <cfRule type="cellIs" priority="4" operator="equal" aboveAverage="0" equalAverage="0" bottom="0" percent="0" rank="0" text="" dxfId="2">
      <formula>"Deployed - Not Tested"</formula>
    </cfRule>
    <cfRule type="cellIs" priority="5" operator="equal" aboveAverage="0" equalAverage="0" bottom="0" percent="0" rank="0" text="" dxfId="3">
      <formula>"Deployed and Confirmed"</formula>
    </cfRule>
  </conditionalFormatting>
  <conditionalFormatting sqref="E4:E47">
    <cfRule type="cellIs" priority="6" operator="equal" aboveAverage="0" equalAverage="0" bottom="0" percent="0" rank="0" text="" dxfId="4">
      <formula>"Not Started"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3">
      <formula>"Pass"</formula>
    </cfRule>
    <cfRule type="cellIs" priority="9" operator="equal" aboveAverage="0" equalAverage="0" bottom="0" percent="0" rank="0" text="" dxfId="0">
      <formula>"Fail"</formula>
    </cfRule>
  </conditionalFormatting>
  <conditionalFormatting sqref="F4:F47">
    <cfRule type="cellIs" priority="10" operator="equal" aboveAverage="0" equalAverage="0" bottom="0" percent="0" rank="0" text="" dxfId="5">
      <formula>"Launch Blocker"</formula>
    </cfRule>
  </conditionalFormatting>
  <dataValidations count="3">
    <dataValidation allowBlank="true" errorStyle="stop" operator="between" showDropDown="false" showErrorMessage="false" showInputMessage="false" sqref="D4:D47" type="list">
      <formula1>"Not Built,Built - Not Tested,Deployed - Not Tested,Deployed and Confirmed"</formula1>
      <formula2>0</formula2>
    </dataValidation>
    <dataValidation allowBlank="true" errorStyle="stop" operator="between" showDropDown="false" showErrorMessage="false" showInputMessage="false" sqref="E4:E47" type="list">
      <formula1>"Not Started,In Progress,Pass,Fail"</formula1>
      <formula2>0</formula2>
    </dataValidation>
    <dataValidation allowBlank="true" errorStyle="stop" operator="between" showDropDown="false" showErrorMessage="false" showInputMessage="false" sqref="F4:F47" type="list">
      <formula1>"Launch Blocker,High,Medium,Low"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40"/>
  </cols>
  <sheetData>
    <row r="1" customFormat="false" ht="25.5" hidden="false" customHeight="true" outlineLevel="0" collapsed="false">
      <c r="A1" s="15" t="s">
        <v>122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6" t="s">
        <v>25</v>
      </c>
      <c r="B2" s="6" t="s">
        <v>26</v>
      </c>
      <c r="C2" s="6" t="s">
        <v>27</v>
      </c>
      <c r="D2" s="6" t="s">
        <v>9</v>
      </c>
      <c r="E2" s="6" t="s">
        <v>28</v>
      </c>
      <c r="F2" s="6" t="s">
        <v>29</v>
      </c>
      <c r="G2" s="6" t="s">
        <v>30</v>
      </c>
    </row>
    <row r="3" customFormat="false" ht="18" hidden="false" customHeight="true" outlineLevel="0" collapsed="false">
      <c r="A3" s="16" t="s">
        <v>31</v>
      </c>
      <c r="B3" s="16"/>
      <c r="C3" s="16"/>
      <c r="D3" s="16"/>
      <c r="E3" s="16"/>
      <c r="F3" s="16"/>
      <c r="G3" s="16"/>
    </row>
    <row r="4" customFormat="false" ht="30" hidden="false" customHeight="true" outlineLevel="0" collapsed="false">
      <c r="A4" s="8"/>
      <c r="B4" s="17" t="s">
        <v>32</v>
      </c>
      <c r="C4" s="17" t="s">
        <v>123</v>
      </c>
      <c r="D4" s="18" t="s">
        <v>17</v>
      </c>
      <c r="E4" s="18" t="s">
        <v>34</v>
      </c>
      <c r="F4" s="18" t="s">
        <v>35</v>
      </c>
      <c r="G4" s="17"/>
    </row>
    <row r="5" customFormat="false" ht="30" hidden="false" customHeight="true" outlineLevel="0" collapsed="false">
      <c r="A5" s="8"/>
      <c r="B5" s="17" t="s">
        <v>124</v>
      </c>
      <c r="C5" s="17" t="s">
        <v>125</v>
      </c>
      <c r="D5" s="18" t="s">
        <v>16</v>
      </c>
      <c r="E5" s="18" t="s">
        <v>38</v>
      </c>
      <c r="F5" s="18" t="s">
        <v>39</v>
      </c>
      <c r="G5" s="17" t="s">
        <v>126</v>
      </c>
    </row>
    <row r="6" customFormat="false" ht="30" hidden="false" customHeight="true" outlineLevel="0" collapsed="false">
      <c r="A6" s="8"/>
      <c r="B6" s="17" t="s">
        <v>40</v>
      </c>
      <c r="C6" s="17" t="s">
        <v>127</v>
      </c>
      <c r="D6" s="18" t="s">
        <v>17</v>
      </c>
      <c r="E6" s="18" t="s">
        <v>34</v>
      </c>
      <c r="F6" s="18" t="s">
        <v>35</v>
      </c>
      <c r="G6" s="17"/>
    </row>
    <row r="7" customFormat="false" ht="18" hidden="false" customHeight="true" outlineLevel="0" collapsed="false">
      <c r="A7" s="16" t="s">
        <v>128</v>
      </c>
      <c r="B7" s="16"/>
      <c r="C7" s="16"/>
      <c r="D7" s="16"/>
      <c r="E7" s="16"/>
      <c r="F7" s="16"/>
      <c r="G7" s="16"/>
    </row>
    <row r="8" customFormat="false" ht="30" hidden="false" customHeight="true" outlineLevel="0" collapsed="false">
      <c r="A8" s="8"/>
      <c r="B8" s="17" t="s">
        <v>129</v>
      </c>
      <c r="C8" s="17" t="s">
        <v>130</v>
      </c>
      <c r="D8" s="18" t="s">
        <v>17</v>
      </c>
      <c r="E8" s="18" t="s">
        <v>38</v>
      </c>
      <c r="F8" s="18" t="s">
        <v>35</v>
      </c>
      <c r="G8" s="17"/>
    </row>
    <row r="9" customFormat="false" ht="30" hidden="false" customHeight="true" outlineLevel="0" collapsed="false">
      <c r="A9" s="8"/>
      <c r="B9" s="17" t="s">
        <v>131</v>
      </c>
      <c r="C9" s="17" t="s">
        <v>132</v>
      </c>
      <c r="D9" s="18" t="s">
        <v>16</v>
      </c>
      <c r="E9" s="18" t="s">
        <v>38</v>
      </c>
      <c r="F9" s="18" t="s">
        <v>46</v>
      </c>
      <c r="G9" s="17" t="s">
        <v>133</v>
      </c>
    </row>
    <row r="10" customFormat="false" ht="30" hidden="false" customHeight="true" outlineLevel="0" collapsed="false">
      <c r="A10" s="8"/>
      <c r="B10" s="17" t="s">
        <v>134</v>
      </c>
      <c r="C10" s="17" t="s">
        <v>135</v>
      </c>
      <c r="D10" s="18" t="s">
        <v>16</v>
      </c>
      <c r="E10" s="18" t="s">
        <v>38</v>
      </c>
      <c r="F10" s="18" t="s">
        <v>39</v>
      </c>
      <c r="G10" s="17" t="s">
        <v>136</v>
      </c>
    </row>
    <row r="11" customFormat="false" ht="30" hidden="false" customHeight="true" outlineLevel="0" collapsed="false">
      <c r="A11" s="8"/>
      <c r="B11" s="17" t="s">
        <v>137</v>
      </c>
      <c r="C11" s="17" t="s">
        <v>138</v>
      </c>
      <c r="D11" s="18" t="s">
        <v>17</v>
      </c>
      <c r="E11" s="18" t="s">
        <v>38</v>
      </c>
      <c r="F11" s="18" t="s">
        <v>35</v>
      </c>
      <c r="G11" s="17"/>
    </row>
    <row r="12" customFormat="false" ht="30" hidden="false" customHeight="true" outlineLevel="0" collapsed="false">
      <c r="A12" s="8"/>
      <c r="B12" s="17" t="s">
        <v>139</v>
      </c>
      <c r="C12" s="17" t="s">
        <v>140</v>
      </c>
      <c r="D12" s="18" t="s">
        <v>15</v>
      </c>
      <c r="E12" s="18" t="s">
        <v>38</v>
      </c>
      <c r="F12" s="18" t="s">
        <v>39</v>
      </c>
      <c r="G12" s="17" t="s">
        <v>141</v>
      </c>
    </row>
    <row r="13" customFormat="false" ht="30" hidden="false" customHeight="true" outlineLevel="0" collapsed="false">
      <c r="A13" s="8"/>
      <c r="B13" s="17" t="s">
        <v>142</v>
      </c>
      <c r="C13" s="17" t="s">
        <v>143</v>
      </c>
      <c r="D13" s="18" t="s">
        <v>17</v>
      </c>
      <c r="E13" s="18" t="s">
        <v>38</v>
      </c>
      <c r="F13" s="18" t="s">
        <v>39</v>
      </c>
      <c r="G13" s="17"/>
    </row>
    <row r="14" customFormat="false" ht="18" hidden="false" customHeight="true" outlineLevel="0" collapsed="false">
      <c r="A14" s="16" t="s">
        <v>144</v>
      </c>
      <c r="B14" s="16"/>
      <c r="C14" s="16"/>
      <c r="D14" s="16"/>
      <c r="E14" s="16"/>
      <c r="F14" s="16"/>
      <c r="G14" s="16"/>
    </row>
    <row r="15" customFormat="false" ht="30" hidden="false" customHeight="true" outlineLevel="0" collapsed="false">
      <c r="A15" s="8"/>
      <c r="B15" s="17" t="s">
        <v>145</v>
      </c>
      <c r="C15" s="17" t="s">
        <v>146</v>
      </c>
      <c r="D15" s="18" t="s">
        <v>16</v>
      </c>
      <c r="E15" s="18" t="s">
        <v>38</v>
      </c>
      <c r="F15" s="18" t="s">
        <v>39</v>
      </c>
      <c r="G15" s="17" t="s">
        <v>147</v>
      </c>
    </row>
    <row r="16" customFormat="false" ht="30" hidden="false" customHeight="true" outlineLevel="0" collapsed="false">
      <c r="A16" s="8"/>
      <c r="B16" s="17" t="s">
        <v>148</v>
      </c>
      <c r="C16" s="17" t="s">
        <v>149</v>
      </c>
      <c r="D16" s="18" t="s">
        <v>16</v>
      </c>
      <c r="E16" s="18" t="s">
        <v>38</v>
      </c>
      <c r="F16" s="18" t="s">
        <v>39</v>
      </c>
      <c r="G16" s="17" t="s">
        <v>150</v>
      </c>
    </row>
    <row r="17" customFormat="false" ht="30" hidden="false" customHeight="true" outlineLevel="0" collapsed="false">
      <c r="A17" s="8"/>
      <c r="B17" s="17" t="s">
        <v>151</v>
      </c>
      <c r="C17" s="17" t="s">
        <v>152</v>
      </c>
      <c r="D17" s="18" t="s">
        <v>17</v>
      </c>
      <c r="E17" s="18" t="s">
        <v>38</v>
      </c>
      <c r="F17" s="18" t="s">
        <v>35</v>
      </c>
      <c r="G17" s="17"/>
    </row>
    <row r="18" customFormat="false" ht="30" hidden="false" customHeight="true" outlineLevel="0" collapsed="false">
      <c r="A18" s="8"/>
      <c r="B18" s="17" t="s">
        <v>153</v>
      </c>
      <c r="C18" s="17" t="s">
        <v>154</v>
      </c>
      <c r="D18" s="18" t="s">
        <v>16</v>
      </c>
      <c r="E18" s="18" t="s">
        <v>38</v>
      </c>
      <c r="F18" s="18" t="s">
        <v>39</v>
      </c>
      <c r="G18" s="17" t="s">
        <v>155</v>
      </c>
    </row>
    <row r="19" customFormat="false" ht="18" hidden="false" customHeight="true" outlineLevel="0" collapsed="false">
      <c r="A19" s="16" t="s">
        <v>156</v>
      </c>
      <c r="B19" s="16"/>
      <c r="C19" s="16"/>
      <c r="D19" s="16"/>
      <c r="E19" s="16"/>
      <c r="F19" s="16"/>
      <c r="G19" s="16"/>
    </row>
    <row r="20" customFormat="false" ht="30" hidden="false" customHeight="true" outlineLevel="0" collapsed="false">
      <c r="A20" s="8"/>
      <c r="B20" s="17" t="s">
        <v>157</v>
      </c>
      <c r="C20" s="17" t="s">
        <v>158</v>
      </c>
      <c r="D20" s="18" t="s">
        <v>17</v>
      </c>
      <c r="E20" s="18" t="s">
        <v>34</v>
      </c>
      <c r="F20" s="18" t="s">
        <v>71</v>
      </c>
      <c r="G20" s="17" t="s">
        <v>159</v>
      </c>
    </row>
    <row r="21" customFormat="false" ht="30" hidden="false" customHeight="true" outlineLevel="0" collapsed="false">
      <c r="A21" s="8"/>
      <c r="B21" s="17" t="s">
        <v>160</v>
      </c>
      <c r="C21" s="17" t="s">
        <v>161</v>
      </c>
      <c r="D21" s="18" t="s">
        <v>16</v>
      </c>
      <c r="E21" s="18" t="s">
        <v>38</v>
      </c>
      <c r="F21" s="18" t="s">
        <v>46</v>
      </c>
      <c r="G21" s="17" t="s">
        <v>162</v>
      </c>
    </row>
    <row r="22" customFormat="false" ht="30" hidden="false" customHeight="true" outlineLevel="0" collapsed="false">
      <c r="A22" s="8"/>
      <c r="B22" s="17" t="s">
        <v>163</v>
      </c>
      <c r="C22" s="17" t="s">
        <v>164</v>
      </c>
      <c r="D22" s="18" t="s">
        <v>16</v>
      </c>
      <c r="E22" s="18" t="s">
        <v>38</v>
      </c>
      <c r="F22" s="18" t="s">
        <v>46</v>
      </c>
      <c r="G22" s="17" t="s">
        <v>165</v>
      </c>
    </row>
    <row r="23" customFormat="false" ht="18" hidden="false" customHeight="true" outlineLevel="0" collapsed="false">
      <c r="A23" s="16" t="s">
        <v>166</v>
      </c>
      <c r="B23" s="16"/>
      <c r="C23" s="16"/>
      <c r="D23" s="16"/>
      <c r="E23" s="16"/>
      <c r="F23" s="16"/>
      <c r="G23" s="16"/>
    </row>
    <row r="24" customFormat="false" ht="30" hidden="false" customHeight="true" outlineLevel="0" collapsed="false">
      <c r="A24" s="8"/>
      <c r="B24" s="17" t="s">
        <v>167</v>
      </c>
      <c r="C24" s="17" t="s">
        <v>168</v>
      </c>
      <c r="D24" s="18" t="s">
        <v>17</v>
      </c>
      <c r="E24" s="18" t="s">
        <v>34</v>
      </c>
      <c r="F24" s="18" t="s">
        <v>71</v>
      </c>
      <c r="G24" s="17"/>
    </row>
    <row r="25" customFormat="false" ht="30" hidden="false" customHeight="true" outlineLevel="0" collapsed="false">
      <c r="A25" s="8"/>
      <c r="B25" s="17" t="s">
        <v>169</v>
      </c>
      <c r="C25" s="17" t="s">
        <v>170</v>
      </c>
      <c r="D25" s="18" t="s">
        <v>14</v>
      </c>
      <c r="E25" s="18" t="s">
        <v>38</v>
      </c>
      <c r="F25" s="18" t="s">
        <v>35</v>
      </c>
      <c r="G25" s="17"/>
    </row>
    <row r="26" customFormat="false" ht="30" hidden="false" customHeight="true" outlineLevel="0" collapsed="false">
      <c r="A26" s="8"/>
      <c r="B26" s="17" t="s">
        <v>171</v>
      </c>
      <c r="C26" s="17" t="s">
        <v>172</v>
      </c>
      <c r="D26" s="18" t="s">
        <v>17</v>
      </c>
      <c r="E26" s="18" t="s">
        <v>38</v>
      </c>
      <c r="F26" s="18" t="s">
        <v>71</v>
      </c>
      <c r="G26" s="17"/>
    </row>
    <row r="27" customFormat="false" ht="30" hidden="false" customHeight="true" outlineLevel="0" collapsed="false">
      <c r="A27" s="8"/>
      <c r="B27" s="17" t="s">
        <v>173</v>
      </c>
      <c r="C27" s="17" t="s">
        <v>174</v>
      </c>
      <c r="D27" s="18" t="s">
        <v>17</v>
      </c>
      <c r="E27" s="18" t="s">
        <v>38</v>
      </c>
      <c r="F27" s="18" t="s">
        <v>35</v>
      </c>
      <c r="G27" s="17"/>
    </row>
    <row r="28" customFormat="false" ht="30" hidden="false" customHeight="true" outlineLevel="0" collapsed="false">
      <c r="A28" s="8"/>
      <c r="B28" s="17" t="s">
        <v>175</v>
      </c>
      <c r="C28" s="17" t="s">
        <v>176</v>
      </c>
      <c r="D28" s="18" t="s">
        <v>14</v>
      </c>
      <c r="E28" s="18" t="s">
        <v>38</v>
      </c>
      <c r="F28" s="18" t="s">
        <v>39</v>
      </c>
      <c r="G28" s="17"/>
    </row>
    <row r="29" customFormat="false" ht="18" hidden="false" customHeight="true" outlineLevel="0" collapsed="false">
      <c r="A29" s="16" t="s">
        <v>177</v>
      </c>
      <c r="B29" s="16"/>
      <c r="C29" s="16"/>
      <c r="D29" s="16"/>
      <c r="E29" s="16"/>
      <c r="F29" s="16"/>
      <c r="G29" s="16"/>
    </row>
    <row r="30" customFormat="false" ht="30" hidden="false" customHeight="true" outlineLevel="0" collapsed="false">
      <c r="A30" s="8"/>
      <c r="B30" s="17" t="s">
        <v>178</v>
      </c>
      <c r="C30" s="17" t="s">
        <v>179</v>
      </c>
      <c r="D30" s="18" t="s">
        <v>16</v>
      </c>
      <c r="E30" s="18" t="s">
        <v>38</v>
      </c>
      <c r="F30" s="18" t="s">
        <v>71</v>
      </c>
      <c r="G30" s="17" t="s">
        <v>180</v>
      </c>
    </row>
    <row r="31" customFormat="false" ht="30" hidden="false" customHeight="true" outlineLevel="0" collapsed="false">
      <c r="A31" s="8"/>
      <c r="B31" s="17" t="s">
        <v>181</v>
      </c>
      <c r="C31" s="17" t="s">
        <v>182</v>
      </c>
      <c r="D31" s="18" t="s">
        <v>14</v>
      </c>
      <c r="E31" s="18" t="s">
        <v>38</v>
      </c>
      <c r="F31" s="18" t="s">
        <v>35</v>
      </c>
      <c r="G31" s="17"/>
    </row>
    <row r="32" customFormat="false" ht="18" hidden="false" customHeight="true" outlineLevel="0" collapsed="false">
      <c r="A32" s="16" t="s">
        <v>183</v>
      </c>
      <c r="B32" s="16"/>
      <c r="C32" s="16"/>
      <c r="D32" s="16"/>
      <c r="E32" s="16"/>
      <c r="F32" s="16"/>
      <c r="G32" s="16"/>
    </row>
    <row r="33" customFormat="false" ht="30" hidden="false" customHeight="true" outlineLevel="0" collapsed="false">
      <c r="A33" s="8"/>
      <c r="B33" s="17" t="s">
        <v>184</v>
      </c>
      <c r="C33" s="17" t="s">
        <v>185</v>
      </c>
      <c r="D33" s="18" t="s">
        <v>16</v>
      </c>
      <c r="E33" s="18" t="s">
        <v>38</v>
      </c>
      <c r="F33" s="18" t="s">
        <v>46</v>
      </c>
      <c r="G33" s="17" t="s">
        <v>186</v>
      </c>
    </row>
    <row r="34" customFormat="false" ht="30" hidden="false" customHeight="true" outlineLevel="0" collapsed="false">
      <c r="A34" s="8"/>
      <c r="B34" s="17" t="s">
        <v>187</v>
      </c>
      <c r="C34" s="17" t="s">
        <v>188</v>
      </c>
      <c r="D34" s="18" t="s">
        <v>16</v>
      </c>
      <c r="E34" s="18" t="s">
        <v>38</v>
      </c>
      <c r="F34" s="18" t="s">
        <v>39</v>
      </c>
      <c r="G34" s="17" t="s">
        <v>186</v>
      </c>
    </row>
    <row r="35" customFormat="false" ht="30" hidden="false" customHeight="true" outlineLevel="0" collapsed="false">
      <c r="A35" s="8"/>
      <c r="B35" s="17" t="s">
        <v>189</v>
      </c>
      <c r="C35" s="17" t="s">
        <v>190</v>
      </c>
      <c r="D35" s="18" t="s">
        <v>16</v>
      </c>
      <c r="E35" s="18" t="s">
        <v>38</v>
      </c>
      <c r="F35" s="18" t="s">
        <v>39</v>
      </c>
      <c r="G35" s="17" t="s">
        <v>186</v>
      </c>
    </row>
    <row r="36" customFormat="false" ht="30" hidden="false" customHeight="true" outlineLevel="0" collapsed="false">
      <c r="A36" s="8"/>
      <c r="B36" s="17" t="s">
        <v>191</v>
      </c>
      <c r="C36" s="17" t="s">
        <v>192</v>
      </c>
      <c r="D36" s="18" t="s">
        <v>16</v>
      </c>
      <c r="E36" s="18" t="s">
        <v>38</v>
      </c>
      <c r="F36" s="18" t="s">
        <v>46</v>
      </c>
      <c r="G36" s="17" t="s">
        <v>186</v>
      </c>
    </row>
    <row r="37" customFormat="false" ht="30" hidden="false" customHeight="true" outlineLevel="0" collapsed="false">
      <c r="A37" s="8"/>
      <c r="B37" s="17" t="s">
        <v>193</v>
      </c>
      <c r="C37" s="17" t="s">
        <v>194</v>
      </c>
      <c r="D37" s="18" t="s">
        <v>16</v>
      </c>
      <c r="E37" s="18" t="s">
        <v>38</v>
      </c>
      <c r="F37" s="18" t="s">
        <v>35</v>
      </c>
      <c r="G37" s="17" t="s">
        <v>186</v>
      </c>
    </row>
    <row r="38" customFormat="false" ht="30" hidden="false" customHeight="true" outlineLevel="0" collapsed="false">
      <c r="A38" s="8"/>
      <c r="B38" s="17" t="s">
        <v>195</v>
      </c>
      <c r="C38" s="17" t="s">
        <v>196</v>
      </c>
      <c r="D38" s="18" t="s">
        <v>15</v>
      </c>
      <c r="E38" s="18" t="s">
        <v>38</v>
      </c>
      <c r="F38" s="18" t="s">
        <v>39</v>
      </c>
      <c r="G38" s="17" t="s">
        <v>197</v>
      </c>
    </row>
    <row r="39" customFormat="false" ht="30" hidden="false" customHeight="true" outlineLevel="0" collapsed="false">
      <c r="A39" s="8"/>
      <c r="B39" s="17" t="s">
        <v>198</v>
      </c>
      <c r="C39" s="17" t="s">
        <v>199</v>
      </c>
      <c r="D39" s="18" t="s">
        <v>17</v>
      </c>
      <c r="E39" s="18" t="s">
        <v>38</v>
      </c>
      <c r="F39" s="18" t="s">
        <v>35</v>
      </c>
      <c r="G39" s="17"/>
    </row>
    <row r="40" customFormat="false" ht="18" hidden="false" customHeight="true" outlineLevel="0" collapsed="false">
      <c r="A40" s="16" t="s">
        <v>200</v>
      </c>
      <c r="B40" s="16"/>
      <c r="C40" s="16"/>
      <c r="D40" s="16"/>
      <c r="E40" s="16"/>
      <c r="F40" s="16"/>
      <c r="G40" s="16"/>
    </row>
    <row r="41" customFormat="false" ht="30" hidden="false" customHeight="true" outlineLevel="0" collapsed="false">
      <c r="A41" s="8"/>
      <c r="B41" s="17" t="s">
        <v>201</v>
      </c>
      <c r="C41" s="17" t="s">
        <v>202</v>
      </c>
      <c r="D41" s="18" t="s">
        <v>14</v>
      </c>
      <c r="E41" s="18" t="s">
        <v>38</v>
      </c>
      <c r="F41" s="18" t="s">
        <v>71</v>
      </c>
      <c r="G41" s="17"/>
    </row>
    <row r="42" customFormat="false" ht="30" hidden="false" customHeight="true" outlineLevel="0" collapsed="false">
      <c r="A42" s="8"/>
      <c r="B42" s="17" t="s">
        <v>203</v>
      </c>
      <c r="C42" s="17" t="s">
        <v>204</v>
      </c>
      <c r="D42" s="18" t="s">
        <v>14</v>
      </c>
      <c r="E42" s="18" t="s">
        <v>38</v>
      </c>
      <c r="F42" s="18" t="s">
        <v>39</v>
      </c>
      <c r="G42" s="17"/>
    </row>
    <row r="43" customFormat="false" ht="30" hidden="false" customHeight="true" outlineLevel="0" collapsed="false">
      <c r="A43" s="8"/>
      <c r="B43" s="17" t="s">
        <v>205</v>
      </c>
      <c r="C43" s="17" t="s">
        <v>206</v>
      </c>
      <c r="D43" s="18" t="s">
        <v>14</v>
      </c>
      <c r="E43" s="18" t="s">
        <v>38</v>
      </c>
      <c r="F43" s="18" t="s">
        <v>35</v>
      </c>
      <c r="G43" s="17"/>
    </row>
    <row r="44" customFormat="false" ht="18" hidden="false" customHeight="true" outlineLevel="0" collapsed="false">
      <c r="A44" s="16" t="s">
        <v>207</v>
      </c>
      <c r="B44" s="16"/>
      <c r="C44" s="16"/>
      <c r="D44" s="16"/>
      <c r="E44" s="16"/>
      <c r="F44" s="16"/>
      <c r="G44" s="16"/>
    </row>
    <row r="45" customFormat="false" ht="30" hidden="false" customHeight="true" outlineLevel="0" collapsed="false">
      <c r="A45" s="8"/>
      <c r="B45" s="17" t="s">
        <v>208</v>
      </c>
      <c r="C45" s="17" t="s">
        <v>209</v>
      </c>
      <c r="D45" s="18" t="s">
        <v>14</v>
      </c>
      <c r="E45" s="18" t="s">
        <v>38</v>
      </c>
      <c r="F45" s="18" t="s">
        <v>71</v>
      </c>
      <c r="G45" s="17"/>
    </row>
    <row r="46" customFormat="false" ht="30" hidden="false" customHeight="true" outlineLevel="0" collapsed="false">
      <c r="A46" s="8"/>
      <c r="B46" s="17" t="s">
        <v>210</v>
      </c>
      <c r="C46" s="17" t="s">
        <v>211</v>
      </c>
      <c r="D46" s="18" t="s">
        <v>14</v>
      </c>
      <c r="E46" s="18" t="s">
        <v>38</v>
      </c>
      <c r="F46" s="18" t="s">
        <v>39</v>
      </c>
      <c r="G46" s="17"/>
    </row>
    <row r="47" customFormat="false" ht="30" hidden="false" customHeight="true" outlineLevel="0" collapsed="false">
      <c r="A47" s="8"/>
      <c r="B47" s="17" t="s">
        <v>212</v>
      </c>
      <c r="C47" s="17" t="s">
        <v>213</v>
      </c>
      <c r="D47" s="18" t="s">
        <v>14</v>
      </c>
      <c r="E47" s="18" t="s">
        <v>38</v>
      </c>
      <c r="F47" s="18" t="s">
        <v>71</v>
      </c>
      <c r="G47" s="17"/>
    </row>
    <row r="48" customFormat="false" ht="30" hidden="false" customHeight="true" outlineLevel="0" collapsed="false">
      <c r="A48" s="8"/>
      <c r="B48" s="17" t="s">
        <v>214</v>
      </c>
      <c r="C48" s="17" t="s">
        <v>215</v>
      </c>
      <c r="D48" s="18" t="s">
        <v>14</v>
      </c>
      <c r="E48" s="18" t="s">
        <v>38</v>
      </c>
      <c r="F48" s="18" t="s">
        <v>71</v>
      </c>
      <c r="G48" s="17"/>
    </row>
    <row r="49" customFormat="false" ht="18" hidden="false" customHeight="true" outlineLevel="0" collapsed="false">
      <c r="A49" s="16" t="s">
        <v>118</v>
      </c>
      <c r="B49" s="16"/>
      <c r="C49" s="16"/>
      <c r="D49" s="16"/>
      <c r="E49" s="16"/>
      <c r="F49" s="16"/>
      <c r="G49" s="16"/>
    </row>
    <row r="50" customFormat="false" ht="113.4" hidden="false" customHeight="false" outlineLevel="0" collapsed="false">
      <c r="A50" s="8"/>
      <c r="B50" s="17" t="s">
        <v>216</v>
      </c>
      <c r="C50" s="17" t="s">
        <v>217</v>
      </c>
      <c r="D50" s="18" t="s">
        <v>16</v>
      </c>
      <c r="E50" s="18" t="s">
        <v>38</v>
      </c>
      <c r="F50" s="18" t="s">
        <v>39</v>
      </c>
      <c r="G50" s="17" t="s">
        <v>218</v>
      </c>
    </row>
  </sheetData>
  <mergeCells count="11">
    <mergeCell ref="A1:G1"/>
    <mergeCell ref="A3:G3"/>
    <mergeCell ref="A7:G7"/>
    <mergeCell ref="A14:G14"/>
    <mergeCell ref="A19:G19"/>
    <mergeCell ref="A23:G23"/>
    <mergeCell ref="A29:G29"/>
    <mergeCell ref="A32:G32"/>
    <mergeCell ref="A40:G40"/>
    <mergeCell ref="A44:G44"/>
    <mergeCell ref="A49:G49"/>
  </mergeCells>
  <conditionalFormatting sqref="D4:D50">
    <cfRule type="cellIs" priority="2" operator="equal" aboveAverage="0" equalAverage="0" bottom="0" percent="0" rank="0" text="" dxfId="0">
      <formula>"Not Built"</formula>
    </cfRule>
    <cfRule type="cellIs" priority="3" operator="equal" aboveAverage="0" equalAverage="0" bottom="0" percent="0" rank="0" text="" dxfId="1">
      <formula>"Built - Not Tested"</formula>
    </cfRule>
    <cfRule type="cellIs" priority="4" operator="equal" aboveAverage="0" equalAverage="0" bottom="0" percent="0" rank="0" text="" dxfId="2">
      <formula>"Deployed - Not Tested"</formula>
    </cfRule>
    <cfRule type="cellIs" priority="5" operator="equal" aboveAverage="0" equalAverage="0" bottom="0" percent="0" rank="0" text="" dxfId="3">
      <formula>"Deployed and Confirmed"</formula>
    </cfRule>
  </conditionalFormatting>
  <conditionalFormatting sqref="E4:E50">
    <cfRule type="cellIs" priority="6" operator="equal" aboveAverage="0" equalAverage="0" bottom="0" percent="0" rank="0" text="" dxfId="4">
      <formula>"Not Started"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3">
      <formula>"Pass"</formula>
    </cfRule>
    <cfRule type="cellIs" priority="9" operator="equal" aboveAverage="0" equalAverage="0" bottom="0" percent="0" rank="0" text="" dxfId="0">
      <formula>"Fail"</formula>
    </cfRule>
  </conditionalFormatting>
  <conditionalFormatting sqref="F4:F50">
    <cfRule type="cellIs" priority="10" operator="equal" aboveAverage="0" equalAverage="0" bottom="0" percent="0" rank="0" text="" dxfId="5">
      <formula>"Launch Blocker"</formula>
    </cfRule>
  </conditionalFormatting>
  <dataValidations count="3">
    <dataValidation allowBlank="true" errorStyle="stop" operator="between" showDropDown="false" showErrorMessage="false" showInputMessage="false" sqref="D4:D50" type="list">
      <formula1>"Not Built,Built - Not Tested,Deployed - Not Tested,Deployed and Confirmed"</formula1>
      <formula2>0</formula2>
    </dataValidation>
    <dataValidation allowBlank="true" errorStyle="stop" operator="between" showDropDown="false" showErrorMessage="false" showInputMessage="false" sqref="E4:E50" type="list">
      <formula1>"Not Started,In Progress,Pass,Fail"</formula1>
      <formula2>0</formula2>
    </dataValidation>
    <dataValidation allowBlank="true" errorStyle="stop" operator="between" showDropDown="false" showErrorMessage="false" showInputMessage="false" sqref="F4:F50" type="list">
      <formula1>"Launch Blocker,High,Medium,Low"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40"/>
  </cols>
  <sheetData>
    <row r="1" customFormat="false" ht="25.5" hidden="false" customHeight="true" outlineLevel="0" collapsed="false">
      <c r="A1" s="15" t="s">
        <v>219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6" t="s">
        <v>25</v>
      </c>
      <c r="B2" s="6" t="s">
        <v>26</v>
      </c>
      <c r="C2" s="6" t="s">
        <v>27</v>
      </c>
      <c r="D2" s="6" t="s">
        <v>9</v>
      </c>
      <c r="E2" s="6" t="s">
        <v>28</v>
      </c>
      <c r="F2" s="6" t="s">
        <v>29</v>
      </c>
      <c r="G2" s="6" t="s">
        <v>30</v>
      </c>
    </row>
    <row r="3" customFormat="false" ht="18" hidden="false" customHeight="true" outlineLevel="0" collapsed="false">
      <c r="A3" s="16" t="s">
        <v>220</v>
      </c>
      <c r="B3" s="16"/>
      <c r="C3" s="16"/>
      <c r="D3" s="16"/>
      <c r="E3" s="16"/>
      <c r="F3" s="16"/>
      <c r="G3" s="16"/>
    </row>
    <row r="4" customFormat="false" ht="30" hidden="false" customHeight="true" outlineLevel="0" collapsed="false">
      <c r="A4" s="8"/>
      <c r="B4" s="17" t="s">
        <v>221</v>
      </c>
      <c r="C4" s="17" t="s">
        <v>222</v>
      </c>
      <c r="D4" s="18" t="s">
        <v>17</v>
      </c>
      <c r="E4" s="18" t="s">
        <v>34</v>
      </c>
      <c r="F4" s="18" t="s">
        <v>46</v>
      </c>
      <c r="G4" s="17"/>
    </row>
    <row r="5" customFormat="false" ht="30" hidden="false" customHeight="true" outlineLevel="0" collapsed="false">
      <c r="A5" s="8"/>
      <c r="B5" s="17" t="s">
        <v>223</v>
      </c>
      <c r="C5" s="17" t="s">
        <v>224</v>
      </c>
      <c r="D5" s="18" t="s">
        <v>17</v>
      </c>
      <c r="E5" s="18" t="s">
        <v>34</v>
      </c>
      <c r="F5" s="18" t="s">
        <v>71</v>
      </c>
      <c r="G5" s="17"/>
    </row>
    <row r="6" customFormat="false" ht="18" hidden="false" customHeight="true" outlineLevel="0" collapsed="false">
      <c r="A6" s="16" t="s">
        <v>225</v>
      </c>
      <c r="B6" s="16"/>
      <c r="C6" s="16"/>
      <c r="D6" s="16"/>
      <c r="E6" s="16"/>
      <c r="F6" s="16"/>
      <c r="G6" s="16"/>
    </row>
    <row r="7" customFormat="false" ht="30" hidden="false" customHeight="true" outlineLevel="0" collapsed="false">
      <c r="A7" s="8"/>
      <c r="B7" s="17" t="s">
        <v>226</v>
      </c>
      <c r="C7" s="17" t="s">
        <v>227</v>
      </c>
      <c r="D7" s="18" t="s">
        <v>17</v>
      </c>
      <c r="E7" s="18" t="s">
        <v>34</v>
      </c>
      <c r="F7" s="18" t="s">
        <v>46</v>
      </c>
      <c r="G7" s="17" t="s">
        <v>228</v>
      </c>
    </row>
    <row r="8" customFormat="false" ht="30" hidden="false" customHeight="true" outlineLevel="0" collapsed="false">
      <c r="A8" s="8"/>
      <c r="B8" s="17" t="s">
        <v>229</v>
      </c>
      <c r="C8" s="17" t="s">
        <v>230</v>
      </c>
      <c r="D8" s="18" t="s">
        <v>17</v>
      </c>
      <c r="E8" s="18" t="s">
        <v>34</v>
      </c>
      <c r="F8" s="18" t="s">
        <v>46</v>
      </c>
      <c r="G8" s="17"/>
    </row>
    <row r="9" customFormat="false" ht="30" hidden="false" customHeight="true" outlineLevel="0" collapsed="false">
      <c r="A9" s="8"/>
      <c r="B9" s="17" t="s">
        <v>231</v>
      </c>
      <c r="C9" s="17" t="s">
        <v>232</v>
      </c>
      <c r="D9" s="18" t="s">
        <v>16</v>
      </c>
      <c r="E9" s="18" t="s">
        <v>38</v>
      </c>
      <c r="F9" s="18" t="s">
        <v>46</v>
      </c>
      <c r="G9" s="17" t="s">
        <v>233</v>
      </c>
    </row>
    <row r="10" customFormat="false" ht="30" hidden="false" customHeight="true" outlineLevel="0" collapsed="false">
      <c r="A10" s="8"/>
      <c r="B10" s="17" t="s">
        <v>234</v>
      </c>
      <c r="C10" s="17" t="s">
        <v>235</v>
      </c>
      <c r="D10" s="18" t="s">
        <v>17</v>
      </c>
      <c r="E10" s="18" t="s">
        <v>38</v>
      </c>
      <c r="F10" s="18" t="s">
        <v>71</v>
      </c>
      <c r="G10" s="17"/>
    </row>
    <row r="11" customFormat="false" ht="30" hidden="false" customHeight="true" outlineLevel="0" collapsed="false">
      <c r="A11" s="8"/>
      <c r="B11" s="17" t="s">
        <v>236</v>
      </c>
      <c r="C11" s="17" t="s">
        <v>237</v>
      </c>
      <c r="D11" s="18" t="s">
        <v>17</v>
      </c>
      <c r="E11" s="18" t="s">
        <v>34</v>
      </c>
      <c r="F11" s="18" t="s">
        <v>71</v>
      </c>
      <c r="G11" s="17" t="s">
        <v>238</v>
      </c>
    </row>
    <row r="12" customFormat="false" ht="30" hidden="false" customHeight="true" outlineLevel="0" collapsed="false">
      <c r="A12" s="8"/>
      <c r="B12" s="17" t="s">
        <v>239</v>
      </c>
      <c r="C12" s="17" t="s">
        <v>240</v>
      </c>
      <c r="D12" s="18" t="s">
        <v>16</v>
      </c>
      <c r="E12" s="18" t="s">
        <v>38</v>
      </c>
      <c r="F12" s="18" t="s">
        <v>39</v>
      </c>
      <c r="G12" s="17" t="s">
        <v>241</v>
      </c>
    </row>
    <row r="13" customFormat="false" ht="18" hidden="false" customHeight="true" outlineLevel="0" collapsed="false">
      <c r="A13" s="16" t="s">
        <v>242</v>
      </c>
      <c r="B13" s="16"/>
      <c r="C13" s="16"/>
      <c r="D13" s="16"/>
      <c r="E13" s="16"/>
      <c r="F13" s="16"/>
      <c r="G13" s="16"/>
    </row>
    <row r="14" customFormat="false" ht="30" hidden="false" customHeight="true" outlineLevel="0" collapsed="false">
      <c r="A14" s="8"/>
      <c r="B14" s="17" t="s">
        <v>243</v>
      </c>
      <c r="C14" s="17" t="s">
        <v>244</v>
      </c>
      <c r="D14" s="18" t="s">
        <v>17</v>
      </c>
      <c r="E14" s="18" t="s">
        <v>34</v>
      </c>
      <c r="F14" s="18" t="s">
        <v>39</v>
      </c>
      <c r="G14" s="17"/>
    </row>
    <row r="15" customFormat="false" ht="30" hidden="false" customHeight="true" outlineLevel="0" collapsed="false">
      <c r="A15" s="8"/>
      <c r="B15" s="17" t="s">
        <v>245</v>
      </c>
      <c r="C15" s="17" t="s">
        <v>246</v>
      </c>
      <c r="D15" s="18" t="s">
        <v>17</v>
      </c>
      <c r="E15" s="18" t="s">
        <v>34</v>
      </c>
      <c r="F15" s="18" t="s">
        <v>35</v>
      </c>
      <c r="G15" s="17"/>
    </row>
    <row r="16" customFormat="false" ht="18" hidden="false" customHeight="true" outlineLevel="0" collapsed="false">
      <c r="A16" s="16" t="s">
        <v>247</v>
      </c>
      <c r="B16" s="16"/>
      <c r="C16" s="16"/>
      <c r="D16" s="16"/>
      <c r="E16" s="16"/>
      <c r="F16" s="16"/>
      <c r="G16" s="16"/>
    </row>
    <row r="17" customFormat="false" ht="30" hidden="false" customHeight="true" outlineLevel="0" collapsed="false">
      <c r="A17" s="8"/>
      <c r="B17" s="17" t="s">
        <v>248</v>
      </c>
      <c r="C17" s="17" t="s">
        <v>249</v>
      </c>
      <c r="D17" s="18" t="s">
        <v>15</v>
      </c>
      <c r="E17" s="18" t="s">
        <v>38</v>
      </c>
      <c r="F17" s="18" t="s">
        <v>46</v>
      </c>
      <c r="G17" s="17" t="s">
        <v>250</v>
      </c>
    </row>
    <row r="18" customFormat="false" ht="30" hidden="false" customHeight="true" outlineLevel="0" collapsed="false">
      <c r="A18" s="8"/>
      <c r="B18" s="17" t="s">
        <v>251</v>
      </c>
      <c r="C18" s="17" t="s">
        <v>252</v>
      </c>
      <c r="D18" s="18" t="s">
        <v>17</v>
      </c>
      <c r="E18" s="18" t="s">
        <v>34</v>
      </c>
      <c r="F18" s="18" t="s">
        <v>46</v>
      </c>
      <c r="G18" s="17" t="s">
        <v>253</v>
      </c>
    </row>
    <row r="19" customFormat="false" ht="30" hidden="false" customHeight="true" outlineLevel="0" collapsed="false">
      <c r="A19" s="8"/>
      <c r="B19" s="17" t="s">
        <v>254</v>
      </c>
      <c r="C19" s="17" t="s">
        <v>255</v>
      </c>
      <c r="D19" s="18" t="s">
        <v>16</v>
      </c>
      <c r="E19" s="18" t="s">
        <v>256</v>
      </c>
      <c r="F19" s="18" t="s">
        <v>71</v>
      </c>
      <c r="G19" s="17" t="s">
        <v>257</v>
      </c>
    </row>
    <row r="20" customFormat="false" ht="30" hidden="false" customHeight="true" outlineLevel="0" collapsed="false">
      <c r="A20" s="8"/>
      <c r="B20" s="17" t="s">
        <v>258</v>
      </c>
      <c r="C20" s="17" t="s">
        <v>259</v>
      </c>
      <c r="D20" s="18" t="s">
        <v>15</v>
      </c>
      <c r="E20" s="18" t="s">
        <v>38</v>
      </c>
      <c r="F20" s="18" t="s">
        <v>39</v>
      </c>
      <c r="G20" s="17" t="s">
        <v>260</v>
      </c>
    </row>
    <row r="21" customFormat="false" ht="30" hidden="false" customHeight="true" outlineLevel="0" collapsed="false">
      <c r="A21" s="8"/>
      <c r="B21" s="17" t="s">
        <v>261</v>
      </c>
      <c r="C21" s="17" t="s">
        <v>262</v>
      </c>
      <c r="D21" s="18" t="s">
        <v>15</v>
      </c>
      <c r="E21" s="18" t="s">
        <v>38</v>
      </c>
      <c r="F21" s="18" t="s">
        <v>39</v>
      </c>
      <c r="G21" s="17" t="s">
        <v>263</v>
      </c>
    </row>
    <row r="22" customFormat="false" ht="18" hidden="false" customHeight="true" outlineLevel="0" collapsed="false">
      <c r="A22" s="16" t="s">
        <v>264</v>
      </c>
      <c r="B22" s="16"/>
      <c r="C22" s="16"/>
      <c r="D22" s="16"/>
      <c r="E22" s="16"/>
      <c r="F22" s="16"/>
      <c r="G22" s="16"/>
    </row>
    <row r="23" customFormat="false" ht="30" hidden="false" customHeight="true" outlineLevel="0" collapsed="false">
      <c r="A23" s="8"/>
      <c r="B23" s="17" t="s">
        <v>265</v>
      </c>
      <c r="C23" s="17" t="s">
        <v>266</v>
      </c>
      <c r="D23" s="18" t="s">
        <v>17</v>
      </c>
      <c r="E23" s="18" t="s">
        <v>38</v>
      </c>
      <c r="F23" s="18" t="s">
        <v>46</v>
      </c>
      <c r="G23" s="17" t="s">
        <v>267</v>
      </c>
    </row>
    <row r="25" customFormat="false" ht="18" hidden="false" customHeight="true" outlineLevel="0" collapsed="false">
      <c r="A25" s="16" t="s">
        <v>268</v>
      </c>
      <c r="B25" s="16"/>
      <c r="C25" s="16"/>
      <c r="D25" s="16"/>
      <c r="E25" s="16"/>
      <c r="F25" s="16"/>
      <c r="G25" s="16"/>
    </row>
    <row r="26" customFormat="false" ht="102.2" hidden="false" customHeight="false" outlineLevel="0" collapsed="false">
      <c r="A26" s="8"/>
      <c r="B26" s="17" t="s">
        <v>269</v>
      </c>
      <c r="C26" s="17" t="s">
        <v>270</v>
      </c>
      <c r="D26" s="18" t="s">
        <v>15</v>
      </c>
      <c r="E26" s="18" t="s">
        <v>38</v>
      </c>
      <c r="F26" s="18" t="s">
        <v>71</v>
      </c>
      <c r="G26" s="17" t="s">
        <v>271</v>
      </c>
    </row>
  </sheetData>
  <mergeCells count="7">
    <mergeCell ref="A1:G1"/>
    <mergeCell ref="A3:G3"/>
    <mergeCell ref="A6:G6"/>
    <mergeCell ref="A13:G13"/>
    <mergeCell ref="A16:G16"/>
    <mergeCell ref="A22:G22"/>
    <mergeCell ref="A25:G25"/>
  </mergeCells>
  <conditionalFormatting sqref="D4:D26">
    <cfRule type="cellIs" priority="2" operator="equal" aboveAverage="0" equalAverage="0" bottom="0" percent="0" rank="0" text="" dxfId="0">
      <formula>"Not Built"</formula>
    </cfRule>
    <cfRule type="cellIs" priority="3" operator="equal" aboveAverage="0" equalAverage="0" bottom="0" percent="0" rank="0" text="" dxfId="1">
      <formula>"Built - Not Tested"</formula>
    </cfRule>
    <cfRule type="cellIs" priority="4" operator="equal" aboveAverage="0" equalAverage="0" bottom="0" percent="0" rank="0" text="" dxfId="2">
      <formula>"Deployed - Not Tested"</formula>
    </cfRule>
    <cfRule type="cellIs" priority="5" operator="equal" aboveAverage="0" equalAverage="0" bottom="0" percent="0" rank="0" text="" dxfId="3">
      <formula>"Deployed and Confirmed"</formula>
    </cfRule>
  </conditionalFormatting>
  <conditionalFormatting sqref="E4:E26">
    <cfRule type="cellIs" priority="6" operator="equal" aboveAverage="0" equalAverage="0" bottom="0" percent="0" rank="0" text="" dxfId="4">
      <formula>"Not Started"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3">
      <formula>"Pass"</formula>
    </cfRule>
    <cfRule type="cellIs" priority="9" operator="equal" aboveAverage="0" equalAverage="0" bottom="0" percent="0" rank="0" text="" dxfId="0">
      <formula>"Fail"</formula>
    </cfRule>
  </conditionalFormatting>
  <conditionalFormatting sqref="F4:F26">
    <cfRule type="cellIs" priority="10" operator="equal" aboveAverage="0" equalAverage="0" bottom="0" percent="0" rank="0" text="" dxfId="5">
      <formula>"Launch Blocker"</formula>
    </cfRule>
  </conditionalFormatting>
  <dataValidations count="3">
    <dataValidation allowBlank="true" errorStyle="stop" operator="between" showDropDown="false" showErrorMessage="false" showInputMessage="false" sqref="D4:D26" type="list">
      <formula1>"Not Built,Built - Not Tested,Deployed - Not Tested,Deployed and Confirmed"</formula1>
      <formula2>0</formula2>
    </dataValidation>
    <dataValidation allowBlank="true" errorStyle="stop" operator="between" showDropDown="false" showErrorMessage="false" showInputMessage="false" sqref="E4:E26" type="list">
      <formula1>"Not Started,In Progress,Pass,Fail"</formula1>
      <formula2>0</formula2>
    </dataValidation>
    <dataValidation allowBlank="true" errorStyle="stop" operator="between" showDropDown="false" showErrorMessage="false" showInputMessage="false" sqref="F4:F26" type="list">
      <formula1>"Launch Blocker,High,Medium,Low"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2026-09-07T19:44:28Z</dcterms:created>
  <dc:creator>openpyxl</dc:creator>
  <dc:description/>
  <dc:language>en-US</dc:language>
  <cp:lastModifiedBy/>
  <dcterms:modified xsi:type="dcterms:W3CDTF">2026-09-08T08:24:45Z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