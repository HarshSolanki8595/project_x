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ricing Worksheet" sheetId="2" state="visible" r:id="rId4"/>
    <sheet name="Competitor Benchmarks" sheetId="3" state="visible" r:id="rId5"/>
  </sheets>
  <definedNames>
    <definedName function="false" hidden="true" localSheetId="1" name="_xlnm._FilterDatabase" vbProcedure="false">'Pricing Worksheet'!$A$1:$M$1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<sst xmlns="http://schemas.openxmlformats.org/spreadsheetml/2006/main" count="489" uniqueCount="225">
  <si>
    <t xml:space="preserve">Habio — Quick Services Pricing Worksheet</t>
  </si>
  <si>
    <t xml:space="preserve">Helper Services + Cleaning, the two categories on fixed tiered pricing (no bidding).</t>
  </si>
  <si>
    <t xml:space="preserve">What this is</t>
  </si>
  <si>
    <t xml:space="preserve">The ‘Pricing Worksheet’ tab lists all 96 tiers (32 subcategories × 3 tiers each) exactly as they exist today in fixed_price_service_config.dart — every price on that tab is the real, currently-live placeholder your app is charging, not a guess.</t>
  </si>
  <si>
    <t xml:space="preserve">The two decisions this depends on</t>
  </si>
  <si>
    <t xml:space="preserve">1. Positioning — is Quick Services meant to compete as the cheap/instant option (Snabbit, Pronto, Urban Company's own InstaHelp) or as a faster-checkout version of UC's premium scheduled Home Cleaning line? These are structurally very different price bands, and nothing has been decided yet. See the ‘Competitor Benchmarks’ tab.</t>
  </si>
  <si>
    <t xml:space="preserve">2. Methodology — how the actual numbers get set: indexed to a competitor, built up from cost-plus (professional's fair wage + margin), tested iteratively against real accept/ignore/raise-price data, or some hybrid. Also undecided.</t>
  </si>
  <si>
    <t xml:space="preserve">How to use the Pricing Worksheet tab</t>
  </si>
  <si>
    <t xml:space="preserve">• Columns A-G are the current live config — don't need editing unless something looks wrong.</t>
  </si>
  <si>
    <t xml:space="preserve">• Column H (yellow) is where you type a new price per tier, only where you want to change it. Leave blank to keep the current price.</t>
  </si>
  <si>
    <t xml:space="preserve">• Columns I-J show the ₹ and % change automatically once you fill in column H.</t>
  </si>
  <si>
    <t xml:space="preserve">• Column K shows the implied ₹/hour at the current price, and column L at your new price — useful for sanity-checking against the hourly competitor rates on the Benchmarks tab.</t>
  </si>
  <si>
    <t xml:space="preserve">• Rows shaded pink are the subcategories flagged SENSITIVE elsewhere in the product (maid, babysitter, elderly care, driver, night caregiver) — no pricing implication, just a visual flag since these already carry an enhanced-verification requirement.</t>
  </si>
  <si>
    <t xml:space="preserve">Once you're happy with the New Price column</t>
  </si>
  <si>
    <t xml:space="preserve">Send it back and the values get typed into fixed_price_service_config.dart (or seeded into the admin panel's Categories &amp; Pricing tab, now that Firestore-backed pricing is built — that route lets you retune later without a rebuild).</t>
  </si>
  <si>
    <t xml:space="preserve">Read 2026-09-21 from D:\Project X\flutter_application_1\lib\data\fixed_price_service_config.dart.</t>
  </si>
  <si>
    <t xml:space="preserve">Category</t>
  </si>
  <si>
    <t xml:space="preserve">Subcategory</t>
  </si>
  <si>
    <t xml:space="preserve">Tier Axis</t>
  </si>
  <si>
    <t xml:space="preserve">Tier</t>
  </si>
  <si>
    <t xml:space="preserve">Description</t>
  </si>
  <si>
    <t xml:space="preserve">Current Price (₹)</t>
  </si>
  <si>
    <t xml:space="preserve">Est. Hours</t>
  </si>
  <si>
    <t xml:space="preserve">New Price (₹)</t>
  </si>
  <si>
    <t xml:space="preserve">Δ vs Current (₹)</t>
  </si>
  <si>
    <t xml:space="preserve">Δ vs Current (%)</t>
  </si>
  <si>
    <t xml:space="preserve">Current ₹/hr</t>
  </si>
  <si>
    <t xml:space="preserve">New ₹/hr</t>
  </si>
  <si>
    <t xml:space="preserve">Competitor Benchmark</t>
  </si>
  <si>
    <t xml:space="preserve">Cleaning</t>
  </si>
  <si>
    <t xml:space="preserve">home_cleaning</t>
  </si>
  <si>
    <t xml:space="preserve">Home size</t>
  </si>
  <si>
    <t xml:space="preserve">1 BHK</t>
  </si>
  <si>
    <t xml:space="preserve">1 bedroom, hall, kitchen</t>
  </si>
  <si>
    <t xml:space="preserve">UC premium Home Cleaning: Rs.2,548-4,499 (Mumbai/Bangalore). UC InstaHelp / Snabbit not directly comparable at this scope.</t>
  </si>
  <si>
    <t xml:space="preserve">2 BHK</t>
  </si>
  <si>
    <t xml:space="preserve">2 bedrooms, hall, kitchen</t>
  </si>
  <si>
    <t xml:space="preserve">3+ BHK</t>
  </si>
  <si>
    <t xml:space="preserve">3 or more bedrooms</t>
  </si>
  <si>
    <t xml:space="preserve">kitchen_cleaning</t>
  </si>
  <si>
    <t xml:space="preserve">Kitchen size</t>
  </si>
  <si>
    <t xml:space="preserve">Compact</t>
  </si>
  <si>
    <t xml:space="preserve">Small or galley kitchen</t>
  </si>
  <si>
    <t xml:space="preserve">Standard</t>
  </si>
  <si>
    <t xml:space="preserve">Regular modular kitchen</t>
  </si>
  <si>
    <t xml:space="preserve">Large</t>
  </si>
  <si>
    <t xml:space="preserve">Large or open-plan kitchen</t>
  </si>
  <si>
    <t xml:space="preserve">bathroom_cleaning</t>
  </si>
  <si>
    <t xml:space="preserve">Number of bathrooms</t>
  </si>
  <si>
    <t xml:space="preserve">1 Bathroom</t>
  </si>
  <si>
    <t xml:space="preserve">Single bathroom, full clean</t>
  </si>
  <si>
    <t xml:space="preserve">Snabbit: Rs.182/hr standard (Rs.99/hr promo). UC Home Cleaning (Bangalore): Rs.549-629 for 1 bath (~1hr), Rs.958 for 2.</t>
  </si>
  <si>
    <t xml:space="preserve">2 Bathrooms</t>
  </si>
  <si>
    <t xml:space="preserve">Two bathrooms, full clean</t>
  </si>
  <si>
    <t xml:space="preserve">3+ Bathrooms</t>
  </si>
  <si>
    <t xml:space="preserve">Three or more bathrooms</t>
  </si>
  <si>
    <t xml:space="preserve">sofa_cleaning</t>
  </si>
  <si>
    <t xml:space="preserve">Sofa size</t>
  </si>
  <si>
    <t xml:space="preserve">Up to 3-Seater</t>
  </si>
  <si>
    <t xml:space="preserve">Single sofa or loveseat</t>
  </si>
  <si>
    <t xml:space="preserve">5-Seater</t>
  </si>
  <si>
    <t xml:space="preserve">Mid-size living room set</t>
  </si>
  <si>
    <t xml:space="preserve">7-Seater+ / Sectional</t>
  </si>
  <si>
    <t xml:space="preserve">Large set or L-shaped sectional</t>
  </si>
  <si>
    <t xml:space="preserve">carpet_cleaning</t>
  </si>
  <si>
    <t xml:space="preserve">Carpet size</t>
  </si>
  <si>
    <t xml:space="preserve">Small</t>
  </si>
  <si>
    <t xml:space="preserve">Up to 5x7 ft</t>
  </si>
  <si>
    <t xml:space="preserve">Medium</t>
  </si>
  <si>
    <t xml:space="preserve">Up to 8x10 ft</t>
  </si>
  <si>
    <t xml:space="preserve">9x12 ft or bigger</t>
  </si>
  <si>
    <t xml:space="preserve">window_cleaning</t>
  </si>
  <si>
    <t xml:space="preserve">Number of windows</t>
  </si>
  <si>
    <t xml:space="preserve">Up to 5 Windows</t>
  </si>
  <si>
    <t xml:space="preserve">6-10 Windows</t>
  </si>
  <si>
    <t xml:space="preserve">11+ Windows</t>
  </si>
  <si>
    <t xml:space="preserve">water_tank_cleaning</t>
  </si>
  <si>
    <t xml:space="preserve">Tank size</t>
  </si>
  <si>
    <t xml:space="preserve">Up to 500 litres</t>
  </si>
  <si>
    <t xml:space="preserve">500-1,000 litres</t>
  </si>
  <si>
    <t xml:space="preserve">1,000+ litres</t>
  </si>
  <si>
    <t xml:space="preserve">chimney_cleaning</t>
  </si>
  <si>
    <t xml:space="preserve">Cleaning type</t>
  </si>
  <si>
    <t xml:space="preserve">Regular filter + duct clean</t>
  </si>
  <si>
    <t xml:space="preserve">Heavy-Duty / Commercial</t>
  </si>
  <si>
    <t xml:space="preserve">Restaurant or heavy-use chimney</t>
  </si>
  <si>
    <t xml:space="preserve">Deep Degreasing</t>
  </si>
  <si>
    <t xml:space="preserve">Full strip-down grease removal</t>
  </si>
  <si>
    <t xml:space="preserve">car_cleaning</t>
  </si>
  <si>
    <t xml:space="preserve">Vehicle type</t>
  </si>
  <si>
    <t xml:space="preserve">Hatchback</t>
  </si>
  <si>
    <t xml:space="preserve">Sedan</t>
  </si>
  <si>
    <t xml:space="preserve">SUV / MUV</t>
  </si>
  <si>
    <t xml:space="preserve">office_cleaning</t>
  </si>
  <si>
    <t xml:space="preserve">Office size</t>
  </si>
  <si>
    <t xml:space="preserve">Up to 1,000 sq ft</t>
  </si>
  <si>
    <t xml:space="preserve">1,000-3,000 sq ft</t>
  </si>
  <si>
    <t xml:space="preserve">3,000+ sq ft</t>
  </si>
  <si>
    <t xml:space="preserve">move_cleaning</t>
  </si>
  <si>
    <t xml:space="preserve">Property size</t>
  </si>
  <si>
    <t xml:space="preserve">Move-in / move-out clean</t>
  </si>
  <si>
    <t xml:space="preserve">mattress_cleaning</t>
  </si>
  <si>
    <t xml:space="preserve">Mattress size</t>
  </si>
  <si>
    <t xml:space="preserve">Single</t>
  </si>
  <si>
    <t xml:space="preserve">Double / Queen</t>
  </si>
  <si>
    <t xml:space="preserve">King</t>
  </si>
  <si>
    <t xml:space="preserve">curtain_cleaning</t>
  </si>
  <si>
    <t xml:space="preserve">Number of panels</t>
  </si>
  <si>
    <t xml:space="preserve">Up to 4 Panels</t>
  </si>
  <si>
    <t xml:space="preserve">5-8 Panels</t>
  </si>
  <si>
    <t xml:space="preserve">9+ Panels</t>
  </si>
  <si>
    <t xml:space="preserve">garden_cleaning</t>
  </si>
  <si>
    <t xml:space="preserve">Garden size</t>
  </si>
  <si>
    <t xml:space="preserve">Up to 500 sq ft</t>
  </si>
  <si>
    <t xml:space="preserve">500-1,500 sq ft</t>
  </si>
  <si>
    <t xml:space="preserve">1,500+ sq ft</t>
  </si>
  <si>
    <t xml:space="preserve">post_construction_cleaning</t>
  </si>
  <si>
    <t xml:space="preserve">Post-construction deep clean</t>
  </si>
  <si>
    <t xml:space="preserve">3+ BHK / Villa</t>
  </si>
  <si>
    <t xml:space="preserve">disinfection_service</t>
  </si>
  <si>
    <t xml:space="preserve">Space size</t>
  </si>
  <si>
    <t xml:space="preserve">1,000-2,500 sq ft</t>
  </si>
  <si>
    <t xml:space="preserve">2,500+ sq ft</t>
  </si>
  <si>
    <t xml:space="preserve">general_cleaning</t>
  </si>
  <si>
    <t xml:space="preserve">Job scope</t>
  </si>
  <si>
    <t xml:space="preserve">Light / Quick Tidy</t>
  </si>
  <si>
    <t xml:space="preserve">Standard Clean</t>
  </si>
  <si>
    <t xml:space="preserve">Deep Clean</t>
  </si>
  <si>
    <t xml:space="preserve">Helper Services</t>
  </si>
  <si>
    <t xml:space="preserve">maid_fulltime</t>
  </si>
  <si>
    <t xml:space="preserve">Hours needed</t>
  </si>
  <si>
    <t xml:space="preserve">Half-Day (4 hrs)</t>
  </si>
  <si>
    <t xml:space="preserve">Full-Day (8 hrs)</t>
  </si>
  <si>
    <t xml:space="preserve">Live-In (12 hrs)</t>
  </si>
  <si>
    <t xml:space="preserve">maid_parttime</t>
  </si>
  <si>
    <t xml:space="preserve">Visit duration</t>
  </si>
  <si>
    <t xml:space="preserve">2 Hours</t>
  </si>
  <si>
    <t xml:space="preserve">3 Hours</t>
  </si>
  <si>
    <t xml:space="preserve">4 Hours</t>
  </si>
  <si>
    <t xml:space="preserve">cook</t>
  </si>
  <si>
    <t xml:space="preserve">Meal scope</t>
  </si>
  <si>
    <t xml:space="preserve">Single Meal</t>
  </si>
  <si>
    <t xml:space="preserve">One meal, one visit</t>
  </si>
  <si>
    <t xml:space="preserve">Two Meals / Day</t>
  </si>
  <si>
    <t xml:space="preserve">Full-Day (3 Meals)</t>
  </si>
  <si>
    <t xml:space="preserve">babysitter</t>
  </si>
  <si>
    <t xml:space="preserve">Duration</t>
  </si>
  <si>
    <t xml:space="preserve">8 Hours / Full-Day</t>
  </si>
  <si>
    <t xml:space="preserve">elderly_care</t>
  </si>
  <si>
    <t xml:space="preserve">8 Hours</t>
  </si>
  <si>
    <t xml:space="preserve">12 Hours</t>
  </si>
  <si>
    <t xml:space="preserve">driver</t>
  </si>
  <si>
    <t xml:space="preserve">Trip type</t>
  </si>
  <si>
    <t xml:space="preserve">Short Trip</t>
  </si>
  <si>
    <t xml:space="preserve">Up to 2 hours</t>
  </si>
  <si>
    <t xml:space="preserve">Half-Day</t>
  </si>
  <si>
    <t xml:space="preserve">Up to 4 hours</t>
  </si>
  <si>
    <t xml:space="preserve">Full-Day</t>
  </si>
  <si>
    <t xml:space="preserve">8 hours</t>
  </si>
  <si>
    <t xml:space="preserve">dog_walking</t>
  </si>
  <si>
    <t xml:space="preserve">Walk duration</t>
  </si>
  <si>
    <t xml:space="preserve">20 Minutes</t>
  </si>
  <si>
    <t xml:space="preserve">30 Minutes</t>
  </si>
  <si>
    <t xml:space="preserve">45+ Minutes</t>
  </si>
  <si>
    <t xml:space="preserve">gardener</t>
  </si>
  <si>
    <t xml:space="preserve">Basic Upkeep</t>
  </si>
  <si>
    <t xml:space="preserve">Up to 1 hour</t>
  </si>
  <si>
    <t xml:space="preserve">Standard Maintenance</t>
  </si>
  <si>
    <t xml:space="preserve">Extensive</t>
  </si>
  <si>
    <t xml:space="preserve">3+ hours</t>
  </si>
  <si>
    <t xml:space="preserve">errand_assistant</t>
  </si>
  <si>
    <t xml:space="preserve">Task scope</t>
  </si>
  <si>
    <t xml:space="preserve">Single Quick Errand</t>
  </si>
  <si>
    <t xml:space="preserve">Multiple Errands</t>
  </si>
  <si>
    <t xml:space="preserve">Half-Day Tasks</t>
  </si>
  <si>
    <t xml:space="preserve">laundry_ironing</t>
  </si>
  <si>
    <t xml:space="preserve">Load size</t>
  </si>
  <si>
    <t xml:space="preserve">Small Load</t>
  </si>
  <si>
    <t xml:space="preserve">Up to 15 pieces</t>
  </si>
  <si>
    <t xml:space="preserve">Medium Load</t>
  </si>
  <si>
    <t xml:space="preserve">16-30 pieces</t>
  </si>
  <si>
    <t xml:space="preserve">Large Load</t>
  </si>
  <si>
    <t xml:space="preserve">30+ pieces</t>
  </si>
  <si>
    <t xml:space="preserve">night_caregiver</t>
  </si>
  <si>
    <t xml:space="preserve">Shift length</t>
  </si>
  <si>
    <t xml:space="preserve">6-Hour Shift</t>
  </si>
  <si>
    <t xml:space="preserve">8-Hour Shift</t>
  </si>
  <si>
    <t xml:space="preserve">10-Hour Shift</t>
  </si>
  <si>
    <t xml:space="preserve">party_cooking</t>
  </si>
  <si>
    <t xml:space="preserve">Guest count</t>
  </si>
  <si>
    <t xml:space="preserve">Up to 10 Guests</t>
  </si>
  <si>
    <t xml:space="preserve">11-25 Guests</t>
  </si>
  <si>
    <t xml:space="preserve">26-50 Guests</t>
  </si>
  <si>
    <t xml:space="preserve">pet_grooming</t>
  </si>
  <si>
    <t xml:space="preserve">Pet size</t>
  </si>
  <si>
    <t xml:space="preserve">Small Pet</t>
  </si>
  <si>
    <t xml:space="preserve">Up to 10 kg</t>
  </si>
  <si>
    <t xml:space="preserve">Medium Pet</t>
  </si>
  <si>
    <t xml:space="preserve">10-25 kg</t>
  </si>
  <si>
    <t xml:space="preserve">Large Pet</t>
  </si>
  <si>
    <t xml:space="preserve">25 kg+</t>
  </si>
  <si>
    <t xml:space="preserve">plant_care</t>
  </si>
  <si>
    <t xml:space="preserve">Number of plants</t>
  </si>
  <si>
    <t xml:space="preserve">Up to 10 Plants</t>
  </si>
  <si>
    <t xml:space="preserve">11-25 Plants</t>
  </si>
  <si>
    <t xml:space="preserve">26+ Plants</t>
  </si>
  <si>
    <t xml:space="preserve">general_helper</t>
  </si>
  <si>
    <t xml:space="preserve">Competitor pricing research (gathered 2026-09-02)</t>
  </si>
  <si>
    <t xml:space="preserve">Competitor / line</t>
  </si>
  <si>
    <t xml:space="preserve">Pricing</t>
  </si>
  <si>
    <t xml:space="preserve">Notes</t>
  </si>
  <si>
    <t xml:space="preserve">Urban Company — premium Home Cleaning</t>
  </si>
  <si>
    <t xml:space="preserve">₹2,548–4,499 (basic apartment, Mumbai/Bangalore); up to ₹3,999–4,499 for bungalows</t>
  </si>
  <si>
    <t xml:space="preserve">Slower, more thorough, scheduled deep-clean product — not the structural match for Habio's Accept/Ignore model.</t>
  </si>
  <si>
    <t xml:space="preserve">Urban Company — InstaHelp</t>
  </si>
  <si>
    <t xml:space="preserve">₹69–350, tiered by standard vs. ‘Gold’ and 14-min instant vs. 60-min scheduled</t>
  </si>
  <si>
    <t xml:space="preserve">UC's own quick-task product, separate from the premium line above. Structurally the closer match to Habio's Quick Services.</t>
  </si>
  <si>
    <t xml:space="preserve">Snabbit</t>
  </si>
  <si>
    <t xml:space="preserve">Flat ₹182/hour standard (₹99/hour new-user promo), no tiers</t>
  </si>
  <si>
    <t xml:space="preserve">Covers house help, bathroom cleaning, kitchen cleaning alike. Structurally the closer match.</t>
  </si>
  <si>
    <t xml:space="preserve">Pronto</t>
  </si>
  <si>
    <t xml:space="preserve">No public rupee figures found</t>
  </si>
  <si>
    <t xml:space="preserve">‘House Help in Minutes/10 Mins’ positioning — same category as Snabbit/InstaHelp. Their own material only says pricing varies by service/duration/city demand.</t>
  </si>
  <si>
    <t xml:space="preserve">Open question, not yet answered:</t>
  </si>
  <si>
    <t xml:space="preserve">Against the InstaHelp/Snabbit set, Habio's current placeholders land in a plausible range (e.g. bathroom_cleaning's 1-bathroom tier at ₹249/~1hr is close to Snabbit's ₹182–249 for the same hour). Against UC's premium line, the same placeholders look 4–5x underpriced. Which comparison set Habio is actually competing against should be decided before tuning the New Price column on the Pricing Worksheet tab.</t>
  </si>
</sst>
</file>

<file path=xl/styles.xml><?xml version="1.0" encoding="utf-8"?>
<styleSheet xmlns="http://schemas.openxmlformats.org/spreadsheetml/2006/main">
  <numFmts count="5">
    <numFmt numFmtId="164" formatCode="General"/>
    <numFmt numFmtId="165" formatCode="\₹#,##0"/>
    <numFmt numFmtId="166" formatCode="\₹#,##0;&quot;(₹&quot;#,##0\)"/>
    <numFmt numFmtId="167" formatCode="0.0%;\(0.0%\)"/>
    <numFmt numFmtId="168" formatCode="\₹#,##0.0"/>
  </numFmts>
  <fonts count="9">
    <font>
      <sz val="11"/>
      <color theme="1"/>
      <name val="Calibri"/>
      <family val="2"/>
      <charset val="1"/>
    </font>
    <font>
      <sz val="10"/>
      <name val="Arial"/>
      <family val="0"/>
    </font>
    <font>
      <sz val="10"/>
      <name val="Arial"/>
      <family val="0"/>
    </font>
    <font>
      <sz val="10"/>
      <name val="Arial"/>
      <family val="0"/>
    </font>
    <font>
      <b val="true"/>
      <sz val="16"/>
      <color rgb="FF152C6B"/>
      <name val="Arial"/>
      <family val="0"/>
      <charset val="1"/>
    </font>
    <font>
      <i val="true"/>
      <sz val="10.5"/>
      <color rgb="FF5B6478"/>
      <name val="Arial"/>
      <family val="0"/>
      <charset val="1"/>
    </font>
    <font>
      <b val="true"/>
      <sz val="10"/>
      <name val="Arial"/>
      <family val="0"/>
      <charset val="1"/>
    </font>
    <font>
      <sz val="10"/>
      <name val="Arial"/>
      <family val="0"/>
      <charset val="1"/>
    </font>
    <font>
      <b val="true"/>
      <sz val="10.5"/>
      <color rgb="FFFFFFFF"/>
      <name val="Arial"/>
      <family val="0"/>
      <charset val="1"/>
    </font>
  </fonts>
  <fills count="6">
    <fill>
      <patternFill patternType="none"/>
    </fill>
    <fill>
      <patternFill patternType="gray125"/>
    </fill>
    <fill>
      <patternFill patternType="solid">
        <fgColor rgb="FF1D4ED8"/>
        <bgColor rgb="FF3366FF"/>
      </patternFill>
    </fill>
    <fill>
      <patternFill patternType="solid">
        <fgColor rgb="FFF7F9FD"/>
        <bgColor rgb="FFFFFFFF"/>
      </patternFill>
    </fill>
    <fill>
      <patternFill patternType="solid">
        <fgColor rgb="FFFFF7D6"/>
        <bgColor rgb="FFFDEEEE"/>
      </patternFill>
    </fill>
    <fill>
      <patternFill patternType="solid">
        <fgColor rgb="FFFDEEEE"/>
        <bgColor rgb="FFF7F9FD"/>
      </patternFill>
    </fill>
  </fills>
  <borders count="2">
    <border diagonalUp="false" diagonalDown="false">
      <left/>
      <right/>
      <top/>
      <bottom/>
      <diagonal/>
    </border>
    <border diagonalUp="false" diagonalDown="false">
      <left style="thin">
        <color rgb="FFD7DCE8"/>
      </left>
      <right style="thin">
        <color rgb="FFD7DCE8"/>
      </right>
      <top style="thin">
        <color rgb="FFD7DCE8"/>
      </top>
      <bottom style="thin">
        <color rgb="FFD7DC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center" textRotation="0" wrapText="false" indent="0" shrinkToFit="false"/>
      <protection locked="true" hidden="false"/>
    </xf>
    <xf numFmtId="166" fontId="7" fillId="4" borderId="1" xfId="0" applyFont="true" applyBorder="true" applyAlignment="true" applyProtection="false">
      <alignment horizontal="general" vertical="center" textRotation="0" wrapText="false" indent="0" shrinkToFit="false"/>
      <protection locked="true" hidden="false"/>
    </xf>
    <xf numFmtId="167" fontId="7" fillId="3" borderId="1" xfId="0" applyFont="true" applyBorder="true" applyAlignment="true" applyProtection="false">
      <alignment horizontal="general" vertical="center" textRotation="0" wrapText="false" indent="0" shrinkToFit="false"/>
      <protection locked="true" hidden="false"/>
    </xf>
    <xf numFmtId="168" fontId="7" fillId="3"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7" fillId="5" borderId="1" xfId="0" applyFont="true" applyBorder="true" applyAlignment="true" applyProtection="false">
      <alignment horizontal="general" vertical="center" textRotation="0" wrapText="false" indent="0" shrinkToFit="false"/>
      <protection locked="true" hidden="false"/>
    </xf>
    <xf numFmtId="167" fontId="7" fillId="5" borderId="1" xfId="0" applyFont="true" applyBorder="true" applyAlignment="true" applyProtection="false">
      <alignment horizontal="general" vertical="center" textRotation="0" wrapText="false" indent="0" shrinkToFit="false"/>
      <protection locked="true" hidden="false"/>
    </xf>
    <xf numFmtId="168" fontId="7" fillId="5"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D4ED8"/>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D6"/>
      <rgbColor rgb="FFF7F9FD"/>
      <rgbColor rgb="FF660066"/>
      <rgbColor rgb="FFFF8080"/>
      <rgbColor rgb="FF1D4ED8"/>
      <rgbColor rgb="FFD7DCE8"/>
      <rgbColor rgb="FF000080"/>
      <rgbColor rgb="FFFF00FF"/>
      <rgbColor rgb="FFFFFF00"/>
      <rgbColor rgb="FF00FFFF"/>
      <rgbColor rgb="FF800080"/>
      <rgbColor rgb="FF800000"/>
      <rgbColor rgb="FF008080"/>
      <rgbColor rgb="FF0000FF"/>
      <rgbColor rgb="FF00CCFF"/>
      <rgbColor rgb="FFFDEEEE"/>
      <rgbColor rgb="FFCCFFCC"/>
      <rgbColor rgb="FFFFFF99"/>
      <rgbColor rgb="FF99CCFF"/>
      <rgbColor rgb="FFFF99CC"/>
      <rgbColor rgb="FFCC99FF"/>
      <rgbColor rgb="FFFFCC99"/>
      <rgbColor rgb="FF3366FF"/>
      <rgbColor rgb="FF33CCCC"/>
      <rgbColor rgb="FF99CC00"/>
      <rgbColor rgb="FFFFCC00"/>
      <rgbColor rgb="FFFF9900"/>
      <rgbColor rgb="FFFF6600"/>
      <rgbColor rgb="FF5B6478"/>
      <rgbColor rgb="FF969696"/>
      <rgbColor rgb="FF152C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35.05" hidden="false" customHeight="false" outlineLevel="0" collapsed="false">
      <c r="B6" s="4" t="s">
        <v>3</v>
      </c>
    </row>
    <row r="8" customFormat="false" ht="15" hidden="false" customHeight="false" outlineLevel="0" collapsed="false">
      <c r="B8" s="3" t="s">
        <v>4</v>
      </c>
    </row>
    <row r="9" customFormat="false" ht="35.05" hidden="false" customHeight="false" outlineLevel="0" collapsed="false">
      <c r="B9" s="4" t="s">
        <v>5</v>
      </c>
    </row>
    <row r="10" customFormat="false" ht="23.85" hidden="false" customHeight="false" outlineLevel="0" collapsed="false">
      <c r="B10" s="4" t="s">
        <v>6</v>
      </c>
    </row>
    <row r="12" customFormat="false" ht="15" hidden="false" customHeight="false" outlineLevel="0" collapsed="false">
      <c r="B12" s="3" t="s">
        <v>7</v>
      </c>
    </row>
    <row r="13" customFormat="false" ht="15" hidden="false" customHeight="false" outlineLevel="0" collapsed="false">
      <c r="B13" s="4" t="s">
        <v>8</v>
      </c>
    </row>
    <row r="14" customFormat="false" ht="23.85" hidden="false" customHeight="false" outlineLevel="0" collapsed="false">
      <c r="B14" s="4" t="s">
        <v>9</v>
      </c>
    </row>
    <row r="15" customFormat="false" ht="15" hidden="false" customHeight="false" outlineLevel="0" collapsed="false">
      <c r="B15" s="4" t="s">
        <v>10</v>
      </c>
    </row>
    <row r="16" customFormat="false" ht="23.85" hidden="false" customHeight="false" outlineLevel="0" collapsed="false">
      <c r="B16" s="4" t="s">
        <v>11</v>
      </c>
    </row>
    <row r="17" customFormat="false" ht="35.05" hidden="false" customHeight="false" outlineLevel="0" collapsed="false">
      <c r="B17" s="4" t="s">
        <v>12</v>
      </c>
    </row>
    <row r="19" customFormat="false" ht="15" hidden="false" customHeight="false" outlineLevel="0" collapsed="false">
      <c r="B19" s="3" t="s">
        <v>13</v>
      </c>
    </row>
    <row r="20" customFormat="false" ht="23.85" hidden="false" customHeight="false" outlineLevel="0" collapsed="false">
      <c r="B20" s="4" t="s">
        <v>14</v>
      </c>
    </row>
    <row r="22" customFormat="false" ht="15" hidden="false" customHeight="false" outlineLevel="0" collapsed="false">
      <c r="B22" s="4"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18"/>
    <col collapsed="false" customWidth="true" hidden="false" outlineLevel="0" max="4" min="4" style="0" width="22"/>
    <col collapsed="false" customWidth="true" hidden="false" outlineLevel="0" max="5" min="5" style="0" width="30"/>
    <col collapsed="false" customWidth="true" hidden="false" outlineLevel="0" max="6" min="6" style="0" width="14"/>
    <col collapsed="false" customWidth="true" hidden="false" outlineLevel="0" max="7" min="7" style="0" width="10"/>
    <col collapsed="false" customWidth="true" hidden="false" outlineLevel="0" max="9" min="8" style="0" width="14"/>
    <col collapsed="false" customWidth="true" hidden="false" outlineLevel="0" max="12" min="10" style="0" width="12"/>
    <col collapsed="false" customWidth="true" hidden="false" outlineLevel="0" max="13" min="13" style="0" width="42"/>
  </cols>
  <sheetData>
    <row r="1" customFormat="false" ht="30" hidden="false" customHeight="true" outlineLevel="0" collapsed="false">
      <c r="A1" s="5" t="s">
        <v>16</v>
      </c>
      <c r="B1" s="5" t="s">
        <v>17</v>
      </c>
      <c r="C1" s="5" t="s">
        <v>18</v>
      </c>
      <c r="D1" s="5" t="s">
        <v>19</v>
      </c>
      <c r="E1" s="5" t="s">
        <v>20</v>
      </c>
      <c r="F1" s="5" t="s">
        <v>21</v>
      </c>
      <c r="G1" s="5" t="s">
        <v>22</v>
      </c>
      <c r="H1" s="5" t="s">
        <v>23</v>
      </c>
      <c r="I1" s="5" t="s">
        <v>24</v>
      </c>
      <c r="J1" s="5" t="s">
        <v>25</v>
      </c>
      <c r="K1" s="5" t="s">
        <v>26</v>
      </c>
      <c r="L1" s="5" t="s">
        <v>27</v>
      </c>
      <c r="M1" s="5" t="s">
        <v>28</v>
      </c>
    </row>
    <row r="2" customFormat="false" ht="35.05" hidden="false" customHeight="false" outlineLevel="0" collapsed="false">
      <c r="A2" s="6" t="s">
        <v>29</v>
      </c>
      <c r="B2" s="6" t="s">
        <v>30</v>
      </c>
      <c r="C2" s="6" t="s">
        <v>31</v>
      </c>
      <c r="D2" s="6" t="s">
        <v>32</v>
      </c>
      <c r="E2" s="7" t="s">
        <v>33</v>
      </c>
      <c r="F2" s="8" t="n">
        <v>499</v>
      </c>
      <c r="G2" s="6" t="n">
        <v>2</v>
      </c>
      <c r="H2" s="9"/>
      <c r="I2" s="10" t="str">
        <f aca="false">IF(H2="","",H2-F2)</f>
        <v/>
      </c>
      <c r="J2" s="11" t="str">
        <f aca="false">IF(H2="","",(H2-F2)/F2)</f>
        <v/>
      </c>
      <c r="K2" s="11" t="n">
        <f aca="false">IF(G2=0,"",F2/G2)</f>
        <v>249.5</v>
      </c>
      <c r="L2" s="6" t="str">
        <f aca="false">IF(OR(H2="",G2=0),"",H2/G2)</f>
        <v/>
      </c>
      <c r="M2" s="7" t="s">
        <v>34</v>
      </c>
    </row>
    <row r="3" customFormat="false" ht="35.05" hidden="false" customHeight="false" outlineLevel="0" collapsed="false">
      <c r="A3" s="12" t="s">
        <v>29</v>
      </c>
      <c r="B3" s="12" t="s">
        <v>30</v>
      </c>
      <c r="C3" s="12" t="s">
        <v>31</v>
      </c>
      <c r="D3" s="12" t="s">
        <v>35</v>
      </c>
      <c r="E3" s="13" t="s">
        <v>36</v>
      </c>
      <c r="F3" s="14" t="n">
        <v>799</v>
      </c>
      <c r="G3" s="12" t="n">
        <v>3</v>
      </c>
      <c r="H3" s="9"/>
      <c r="I3" s="15" t="str">
        <f aca="false">IF(H3="","",H3-F3)</f>
        <v/>
      </c>
      <c r="J3" s="16" t="str">
        <f aca="false">IF(H3="","",(H3-F3)/F3)</f>
        <v/>
      </c>
      <c r="K3" s="16" t="n">
        <f aca="false">IF(G3=0,"",F3/G3)</f>
        <v>266.333333333333</v>
      </c>
      <c r="L3" s="12" t="str">
        <f aca="false">IF(OR(H3="",G3=0),"",H3/G3)</f>
        <v/>
      </c>
      <c r="M3" s="13" t="s">
        <v>34</v>
      </c>
    </row>
    <row r="4" customFormat="false" ht="35.05" hidden="false" customHeight="false" outlineLevel="0" collapsed="false">
      <c r="A4" s="6" t="s">
        <v>29</v>
      </c>
      <c r="B4" s="6" t="s">
        <v>30</v>
      </c>
      <c r="C4" s="6" t="s">
        <v>31</v>
      </c>
      <c r="D4" s="6" t="s">
        <v>37</v>
      </c>
      <c r="E4" s="7" t="s">
        <v>38</v>
      </c>
      <c r="F4" s="8" t="n">
        <v>1199</v>
      </c>
      <c r="G4" s="6" t="n">
        <v>4.5</v>
      </c>
      <c r="H4" s="9"/>
      <c r="I4" s="10" t="str">
        <f aca="false">IF(H4="","",H4-F4)</f>
        <v/>
      </c>
      <c r="J4" s="11" t="str">
        <f aca="false">IF(H4="","",(H4-F4)/F4)</f>
        <v/>
      </c>
      <c r="K4" s="11" t="n">
        <f aca="false">IF(G4=0,"",F4/G4)</f>
        <v>266.444444444444</v>
      </c>
      <c r="L4" s="6" t="str">
        <f aca="false">IF(OR(H4="",G4=0),"",H4/G4)</f>
        <v/>
      </c>
      <c r="M4" s="7" t="s">
        <v>34</v>
      </c>
    </row>
    <row r="5" customFormat="false" ht="15" hidden="false" customHeight="false" outlineLevel="0" collapsed="false">
      <c r="A5" s="12" t="s">
        <v>29</v>
      </c>
      <c r="B5" s="12" t="s">
        <v>39</v>
      </c>
      <c r="C5" s="12" t="s">
        <v>40</v>
      </c>
      <c r="D5" s="12" t="s">
        <v>41</v>
      </c>
      <c r="E5" s="13" t="s">
        <v>42</v>
      </c>
      <c r="F5" s="14" t="n">
        <v>349</v>
      </c>
      <c r="G5" s="12" t="n">
        <v>1.5</v>
      </c>
      <c r="H5" s="9"/>
      <c r="I5" s="15" t="str">
        <f aca="false">IF(H5="","",H5-F5)</f>
        <v/>
      </c>
      <c r="J5" s="16" t="str">
        <f aca="false">IF(H5="","",(H5-F5)/F5)</f>
        <v/>
      </c>
      <c r="K5" s="16" t="n">
        <f aca="false">IF(G5=0,"",F5/G5)</f>
        <v>232.666666666667</v>
      </c>
      <c r="L5" s="12" t="str">
        <f aca="false">IF(OR(H5="",G5=0),"",H5/G5)</f>
        <v/>
      </c>
      <c r="M5" s="13"/>
    </row>
    <row r="6" customFormat="false" ht="15" hidden="false" customHeight="false" outlineLevel="0" collapsed="false">
      <c r="A6" s="6" t="s">
        <v>29</v>
      </c>
      <c r="B6" s="6" t="s">
        <v>39</v>
      </c>
      <c r="C6" s="6" t="s">
        <v>40</v>
      </c>
      <c r="D6" s="6" t="s">
        <v>43</v>
      </c>
      <c r="E6" s="7" t="s">
        <v>44</v>
      </c>
      <c r="F6" s="8" t="n">
        <v>549</v>
      </c>
      <c r="G6" s="6" t="n">
        <v>2.5</v>
      </c>
      <c r="H6" s="9"/>
      <c r="I6" s="10" t="str">
        <f aca="false">IF(H6="","",H6-F6)</f>
        <v/>
      </c>
      <c r="J6" s="11" t="str">
        <f aca="false">IF(H6="","",(H6-F6)/F6)</f>
        <v/>
      </c>
      <c r="K6" s="11" t="n">
        <f aca="false">IF(G6=0,"",F6/G6)</f>
        <v>219.6</v>
      </c>
      <c r="L6" s="6" t="str">
        <f aca="false">IF(OR(H6="",G6=0),"",H6/G6)</f>
        <v/>
      </c>
      <c r="M6" s="7"/>
    </row>
    <row r="7" customFormat="false" ht="15" hidden="false" customHeight="false" outlineLevel="0" collapsed="false">
      <c r="A7" s="12" t="s">
        <v>29</v>
      </c>
      <c r="B7" s="12" t="s">
        <v>39</v>
      </c>
      <c r="C7" s="12" t="s">
        <v>40</v>
      </c>
      <c r="D7" s="12" t="s">
        <v>45</v>
      </c>
      <c r="E7" s="13" t="s">
        <v>46</v>
      </c>
      <c r="F7" s="14" t="n">
        <v>799</v>
      </c>
      <c r="G7" s="12" t="n">
        <v>3.5</v>
      </c>
      <c r="H7" s="9"/>
      <c r="I7" s="15" t="str">
        <f aca="false">IF(H7="","",H7-F7)</f>
        <v/>
      </c>
      <c r="J7" s="16" t="str">
        <f aca="false">IF(H7="","",(H7-F7)/F7)</f>
        <v/>
      </c>
      <c r="K7" s="16" t="n">
        <f aca="false">IF(G7=0,"",F7/G7)</f>
        <v>228.285714285714</v>
      </c>
      <c r="L7" s="12" t="str">
        <f aca="false">IF(OR(H7="",G7=0),"",H7/G7)</f>
        <v/>
      </c>
      <c r="M7" s="13"/>
    </row>
    <row r="8" customFormat="false" ht="35.05" hidden="false" customHeight="false" outlineLevel="0" collapsed="false">
      <c r="A8" s="6" t="s">
        <v>29</v>
      </c>
      <c r="B8" s="6" t="s">
        <v>47</v>
      </c>
      <c r="C8" s="6" t="s">
        <v>48</v>
      </c>
      <c r="D8" s="6" t="s">
        <v>49</v>
      </c>
      <c r="E8" s="7" t="s">
        <v>50</v>
      </c>
      <c r="F8" s="8" t="n">
        <v>249</v>
      </c>
      <c r="G8" s="6" t="n">
        <v>1</v>
      </c>
      <c r="H8" s="9"/>
      <c r="I8" s="10" t="str">
        <f aca="false">IF(H8="","",H8-F8)</f>
        <v/>
      </c>
      <c r="J8" s="11" t="str">
        <f aca="false">IF(H8="","",(H8-F8)/F8)</f>
        <v/>
      </c>
      <c r="K8" s="11" t="n">
        <f aca="false">IF(G8=0,"",F8/G8)</f>
        <v>249</v>
      </c>
      <c r="L8" s="6" t="str">
        <f aca="false">IF(OR(H8="",G8=0),"",H8/G8)</f>
        <v/>
      </c>
      <c r="M8" s="7" t="s">
        <v>51</v>
      </c>
    </row>
    <row r="9" customFormat="false" ht="35.05" hidden="false" customHeight="false" outlineLevel="0" collapsed="false">
      <c r="A9" s="12" t="s">
        <v>29</v>
      </c>
      <c r="B9" s="12" t="s">
        <v>47</v>
      </c>
      <c r="C9" s="12" t="s">
        <v>48</v>
      </c>
      <c r="D9" s="12" t="s">
        <v>52</v>
      </c>
      <c r="E9" s="13" t="s">
        <v>53</v>
      </c>
      <c r="F9" s="14" t="n">
        <v>449</v>
      </c>
      <c r="G9" s="12" t="n">
        <v>1.75</v>
      </c>
      <c r="H9" s="9"/>
      <c r="I9" s="15" t="str">
        <f aca="false">IF(H9="","",H9-F9)</f>
        <v/>
      </c>
      <c r="J9" s="16" t="str">
        <f aca="false">IF(H9="","",(H9-F9)/F9)</f>
        <v/>
      </c>
      <c r="K9" s="16" t="n">
        <f aca="false">IF(G9=0,"",F9/G9)</f>
        <v>256.571428571429</v>
      </c>
      <c r="L9" s="12" t="str">
        <f aca="false">IF(OR(H9="",G9=0),"",H9/G9)</f>
        <v/>
      </c>
      <c r="M9" s="13" t="s">
        <v>51</v>
      </c>
    </row>
    <row r="10" customFormat="false" ht="35.05" hidden="false" customHeight="false" outlineLevel="0" collapsed="false">
      <c r="A10" s="6" t="s">
        <v>29</v>
      </c>
      <c r="B10" s="6" t="s">
        <v>47</v>
      </c>
      <c r="C10" s="6" t="s">
        <v>48</v>
      </c>
      <c r="D10" s="6" t="s">
        <v>54</v>
      </c>
      <c r="E10" s="7" t="s">
        <v>55</v>
      </c>
      <c r="F10" s="8" t="n">
        <v>649</v>
      </c>
      <c r="G10" s="6" t="n">
        <v>2.5</v>
      </c>
      <c r="H10" s="9"/>
      <c r="I10" s="10" t="str">
        <f aca="false">IF(H10="","",H10-F10)</f>
        <v/>
      </c>
      <c r="J10" s="11" t="str">
        <f aca="false">IF(H10="","",(H10-F10)/F10)</f>
        <v/>
      </c>
      <c r="K10" s="11" t="n">
        <f aca="false">IF(G10=0,"",F10/G10)</f>
        <v>259.6</v>
      </c>
      <c r="L10" s="6" t="str">
        <f aca="false">IF(OR(H10="",G10=0),"",H10/G10)</f>
        <v/>
      </c>
      <c r="M10" s="7" t="s">
        <v>51</v>
      </c>
    </row>
    <row r="11" customFormat="false" ht="15" hidden="false" customHeight="false" outlineLevel="0" collapsed="false">
      <c r="A11" s="12" t="s">
        <v>29</v>
      </c>
      <c r="B11" s="12" t="s">
        <v>56</v>
      </c>
      <c r="C11" s="12" t="s">
        <v>57</v>
      </c>
      <c r="D11" s="12" t="s">
        <v>58</v>
      </c>
      <c r="E11" s="13" t="s">
        <v>59</v>
      </c>
      <c r="F11" s="14" t="n">
        <v>399</v>
      </c>
      <c r="G11" s="12" t="n">
        <v>1.5</v>
      </c>
      <c r="H11" s="9"/>
      <c r="I11" s="15" t="str">
        <f aca="false">IF(H11="","",H11-F11)</f>
        <v/>
      </c>
      <c r="J11" s="16" t="str">
        <f aca="false">IF(H11="","",(H11-F11)/F11)</f>
        <v/>
      </c>
      <c r="K11" s="16" t="n">
        <f aca="false">IF(G11=0,"",F11/G11)</f>
        <v>266</v>
      </c>
      <c r="L11" s="12" t="str">
        <f aca="false">IF(OR(H11="",G11=0),"",H11/G11)</f>
        <v/>
      </c>
      <c r="M11" s="13"/>
    </row>
    <row r="12" customFormat="false" ht="15" hidden="false" customHeight="false" outlineLevel="0" collapsed="false">
      <c r="A12" s="6" t="s">
        <v>29</v>
      </c>
      <c r="B12" s="6" t="s">
        <v>56</v>
      </c>
      <c r="C12" s="6" t="s">
        <v>57</v>
      </c>
      <c r="D12" s="6" t="s">
        <v>60</v>
      </c>
      <c r="E12" s="7" t="s">
        <v>61</v>
      </c>
      <c r="F12" s="8" t="n">
        <v>599</v>
      </c>
      <c r="G12" s="6" t="n">
        <v>2</v>
      </c>
      <c r="H12" s="9"/>
      <c r="I12" s="10" t="str">
        <f aca="false">IF(H12="","",H12-F12)</f>
        <v/>
      </c>
      <c r="J12" s="11" t="str">
        <f aca="false">IF(H12="","",(H12-F12)/F12)</f>
        <v/>
      </c>
      <c r="K12" s="11" t="n">
        <f aca="false">IF(G12=0,"",F12/G12)</f>
        <v>299.5</v>
      </c>
      <c r="L12" s="6" t="str">
        <f aca="false">IF(OR(H12="",G12=0),"",H12/G12)</f>
        <v/>
      </c>
      <c r="M12" s="7"/>
    </row>
    <row r="13" customFormat="false" ht="15" hidden="false" customHeight="false" outlineLevel="0" collapsed="false">
      <c r="A13" s="12" t="s">
        <v>29</v>
      </c>
      <c r="B13" s="12" t="s">
        <v>56</v>
      </c>
      <c r="C13" s="12" t="s">
        <v>57</v>
      </c>
      <c r="D13" s="12" t="s">
        <v>62</v>
      </c>
      <c r="E13" s="13" t="s">
        <v>63</v>
      </c>
      <c r="F13" s="14" t="n">
        <v>899</v>
      </c>
      <c r="G13" s="12" t="n">
        <v>3</v>
      </c>
      <c r="H13" s="9"/>
      <c r="I13" s="15" t="str">
        <f aca="false">IF(H13="","",H13-F13)</f>
        <v/>
      </c>
      <c r="J13" s="16" t="str">
        <f aca="false">IF(H13="","",(H13-F13)/F13)</f>
        <v/>
      </c>
      <c r="K13" s="16" t="n">
        <f aca="false">IF(G13=0,"",F13/G13)</f>
        <v>299.666666666667</v>
      </c>
      <c r="L13" s="12" t="str">
        <f aca="false">IF(OR(H13="",G13=0),"",H13/G13)</f>
        <v/>
      </c>
      <c r="M13" s="13"/>
    </row>
    <row r="14" customFormat="false" ht="15" hidden="false" customHeight="false" outlineLevel="0" collapsed="false">
      <c r="A14" s="6" t="s">
        <v>29</v>
      </c>
      <c r="B14" s="6" t="s">
        <v>64</v>
      </c>
      <c r="C14" s="6" t="s">
        <v>65</v>
      </c>
      <c r="D14" s="6" t="s">
        <v>66</v>
      </c>
      <c r="E14" s="7" t="s">
        <v>67</v>
      </c>
      <c r="F14" s="8" t="n">
        <v>349</v>
      </c>
      <c r="G14" s="6" t="n">
        <v>1</v>
      </c>
      <c r="H14" s="9"/>
      <c r="I14" s="10" t="str">
        <f aca="false">IF(H14="","",H14-F14)</f>
        <v/>
      </c>
      <c r="J14" s="11" t="str">
        <f aca="false">IF(H14="","",(H14-F14)/F14)</f>
        <v/>
      </c>
      <c r="K14" s="11" t="n">
        <f aca="false">IF(G14=0,"",F14/G14)</f>
        <v>349</v>
      </c>
      <c r="L14" s="6" t="str">
        <f aca="false">IF(OR(H14="",G14=0),"",H14/G14)</f>
        <v/>
      </c>
      <c r="M14" s="7"/>
    </row>
    <row r="15" customFormat="false" ht="15" hidden="false" customHeight="false" outlineLevel="0" collapsed="false">
      <c r="A15" s="12" t="s">
        <v>29</v>
      </c>
      <c r="B15" s="12" t="s">
        <v>64</v>
      </c>
      <c r="C15" s="12" t="s">
        <v>65</v>
      </c>
      <c r="D15" s="12" t="s">
        <v>68</v>
      </c>
      <c r="E15" s="13" t="s">
        <v>69</v>
      </c>
      <c r="F15" s="14" t="n">
        <v>549</v>
      </c>
      <c r="G15" s="12" t="n">
        <v>1.5</v>
      </c>
      <c r="H15" s="9"/>
      <c r="I15" s="15" t="str">
        <f aca="false">IF(H15="","",H15-F15)</f>
        <v/>
      </c>
      <c r="J15" s="16" t="str">
        <f aca="false">IF(H15="","",(H15-F15)/F15)</f>
        <v/>
      </c>
      <c r="K15" s="16" t="n">
        <f aca="false">IF(G15=0,"",F15/G15)</f>
        <v>366</v>
      </c>
      <c r="L15" s="12" t="str">
        <f aca="false">IF(OR(H15="",G15=0),"",H15/G15)</f>
        <v/>
      </c>
      <c r="M15" s="13"/>
    </row>
    <row r="16" customFormat="false" ht="15" hidden="false" customHeight="false" outlineLevel="0" collapsed="false">
      <c r="A16" s="6" t="s">
        <v>29</v>
      </c>
      <c r="B16" s="6" t="s">
        <v>64</v>
      </c>
      <c r="C16" s="6" t="s">
        <v>65</v>
      </c>
      <c r="D16" s="6" t="s">
        <v>45</v>
      </c>
      <c r="E16" s="7" t="s">
        <v>70</v>
      </c>
      <c r="F16" s="8" t="n">
        <v>849</v>
      </c>
      <c r="G16" s="6" t="n">
        <v>2.5</v>
      </c>
      <c r="H16" s="9"/>
      <c r="I16" s="10" t="str">
        <f aca="false">IF(H16="","",H16-F16)</f>
        <v/>
      </c>
      <c r="J16" s="11" t="str">
        <f aca="false">IF(H16="","",(H16-F16)/F16)</f>
        <v/>
      </c>
      <c r="K16" s="11" t="n">
        <f aca="false">IF(G16=0,"",F16/G16)</f>
        <v>339.6</v>
      </c>
      <c r="L16" s="6" t="str">
        <f aca="false">IF(OR(H16="",G16=0),"",H16/G16)</f>
        <v/>
      </c>
      <c r="M16" s="7"/>
    </row>
    <row r="17" customFormat="false" ht="15" hidden="false" customHeight="false" outlineLevel="0" collapsed="false">
      <c r="A17" s="12" t="s">
        <v>29</v>
      </c>
      <c r="B17" s="12" t="s">
        <v>71</v>
      </c>
      <c r="C17" s="12" t="s">
        <v>72</v>
      </c>
      <c r="D17" s="12" t="s">
        <v>73</v>
      </c>
      <c r="E17" s="13"/>
      <c r="F17" s="14" t="n">
        <v>299</v>
      </c>
      <c r="G17" s="12" t="n">
        <v>1.5</v>
      </c>
      <c r="H17" s="9"/>
      <c r="I17" s="15" t="str">
        <f aca="false">IF(H17="","",H17-F17)</f>
        <v/>
      </c>
      <c r="J17" s="16" t="str">
        <f aca="false">IF(H17="","",(H17-F17)/F17)</f>
        <v/>
      </c>
      <c r="K17" s="16" t="n">
        <f aca="false">IF(G17=0,"",F17/G17)</f>
        <v>199.333333333333</v>
      </c>
      <c r="L17" s="12" t="str">
        <f aca="false">IF(OR(H17="",G17=0),"",H17/G17)</f>
        <v/>
      </c>
      <c r="M17" s="13"/>
    </row>
    <row r="18" customFormat="false" ht="15" hidden="false" customHeight="false" outlineLevel="0" collapsed="false">
      <c r="A18" s="6" t="s">
        <v>29</v>
      </c>
      <c r="B18" s="6" t="s">
        <v>71</v>
      </c>
      <c r="C18" s="6" t="s">
        <v>72</v>
      </c>
      <c r="D18" s="6" t="s">
        <v>74</v>
      </c>
      <c r="E18" s="7"/>
      <c r="F18" s="8" t="n">
        <v>499</v>
      </c>
      <c r="G18" s="6" t="n">
        <v>2.5</v>
      </c>
      <c r="H18" s="9"/>
      <c r="I18" s="10" t="str">
        <f aca="false">IF(H18="","",H18-F18)</f>
        <v/>
      </c>
      <c r="J18" s="11" t="str">
        <f aca="false">IF(H18="","",(H18-F18)/F18)</f>
        <v/>
      </c>
      <c r="K18" s="11" t="n">
        <f aca="false">IF(G18=0,"",F18/G18)</f>
        <v>199.6</v>
      </c>
      <c r="L18" s="6" t="str">
        <f aca="false">IF(OR(H18="",G18=0),"",H18/G18)</f>
        <v/>
      </c>
      <c r="M18" s="7"/>
    </row>
    <row r="19" customFormat="false" ht="15" hidden="false" customHeight="false" outlineLevel="0" collapsed="false">
      <c r="A19" s="12" t="s">
        <v>29</v>
      </c>
      <c r="B19" s="12" t="s">
        <v>71</v>
      </c>
      <c r="C19" s="12" t="s">
        <v>72</v>
      </c>
      <c r="D19" s="12" t="s">
        <v>75</v>
      </c>
      <c r="E19" s="13"/>
      <c r="F19" s="14" t="n">
        <v>799</v>
      </c>
      <c r="G19" s="12" t="n">
        <v>4</v>
      </c>
      <c r="H19" s="9"/>
      <c r="I19" s="15" t="str">
        <f aca="false">IF(H19="","",H19-F19)</f>
        <v/>
      </c>
      <c r="J19" s="16" t="str">
        <f aca="false">IF(H19="","",(H19-F19)/F19)</f>
        <v/>
      </c>
      <c r="K19" s="16" t="n">
        <f aca="false">IF(G19=0,"",F19/G19)</f>
        <v>199.75</v>
      </c>
      <c r="L19" s="12" t="str">
        <f aca="false">IF(OR(H19="",G19=0),"",H19/G19)</f>
        <v/>
      </c>
      <c r="M19" s="13"/>
    </row>
    <row r="20" customFormat="false" ht="15" hidden="false" customHeight="false" outlineLevel="0" collapsed="false">
      <c r="A20" s="6" t="s">
        <v>29</v>
      </c>
      <c r="B20" s="6" t="s">
        <v>76</v>
      </c>
      <c r="C20" s="6" t="s">
        <v>77</v>
      </c>
      <c r="D20" s="6" t="s">
        <v>66</v>
      </c>
      <c r="E20" s="7" t="s">
        <v>78</v>
      </c>
      <c r="F20" s="8" t="n">
        <v>599</v>
      </c>
      <c r="G20" s="6" t="n">
        <v>1.5</v>
      </c>
      <c r="H20" s="9"/>
      <c r="I20" s="10" t="str">
        <f aca="false">IF(H20="","",H20-F20)</f>
        <v/>
      </c>
      <c r="J20" s="11" t="str">
        <f aca="false">IF(H20="","",(H20-F20)/F20)</f>
        <v/>
      </c>
      <c r="K20" s="11" t="n">
        <f aca="false">IF(G20=0,"",F20/G20)</f>
        <v>399.333333333333</v>
      </c>
      <c r="L20" s="6" t="str">
        <f aca="false">IF(OR(H20="",G20=0),"",H20/G20)</f>
        <v/>
      </c>
      <c r="M20" s="7"/>
    </row>
    <row r="21" customFormat="false" ht="15" hidden="false" customHeight="false" outlineLevel="0" collapsed="false">
      <c r="A21" s="12" t="s">
        <v>29</v>
      </c>
      <c r="B21" s="12" t="s">
        <v>76</v>
      </c>
      <c r="C21" s="12" t="s">
        <v>77</v>
      </c>
      <c r="D21" s="12" t="s">
        <v>68</v>
      </c>
      <c r="E21" s="13" t="s">
        <v>79</v>
      </c>
      <c r="F21" s="14" t="n">
        <v>899</v>
      </c>
      <c r="G21" s="12" t="n">
        <v>2</v>
      </c>
      <c r="H21" s="9"/>
      <c r="I21" s="15" t="str">
        <f aca="false">IF(H21="","",H21-F21)</f>
        <v/>
      </c>
      <c r="J21" s="16" t="str">
        <f aca="false">IF(H21="","",(H21-F21)/F21)</f>
        <v/>
      </c>
      <c r="K21" s="16" t="n">
        <f aca="false">IF(G21=0,"",F21/G21)</f>
        <v>449.5</v>
      </c>
      <c r="L21" s="12" t="str">
        <f aca="false">IF(OR(H21="",G21=0),"",H21/G21)</f>
        <v/>
      </c>
      <c r="M21" s="13"/>
    </row>
    <row r="22" customFormat="false" ht="15" hidden="false" customHeight="false" outlineLevel="0" collapsed="false">
      <c r="A22" s="6" t="s">
        <v>29</v>
      </c>
      <c r="B22" s="6" t="s">
        <v>76</v>
      </c>
      <c r="C22" s="6" t="s">
        <v>77</v>
      </c>
      <c r="D22" s="6" t="s">
        <v>45</v>
      </c>
      <c r="E22" s="7" t="s">
        <v>80</v>
      </c>
      <c r="F22" s="8" t="n">
        <v>1299</v>
      </c>
      <c r="G22" s="6" t="n">
        <v>3</v>
      </c>
      <c r="H22" s="9"/>
      <c r="I22" s="10" t="str">
        <f aca="false">IF(H22="","",H22-F22)</f>
        <v/>
      </c>
      <c r="J22" s="11" t="str">
        <f aca="false">IF(H22="","",(H22-F22)/F22)</f>
        <v/>
      </c>
      <c r="K22" s="11" t="n">
        <f aca="false">IF(G22=0,"",F22/G22)</f>
        <v>433</v>
      </c>
      <c r="L22" s="6" t="str">
        <f aca="false">IF(OR(H22="",G22=0),"",H22/G22)</f>
        <v/>
      </c>
      <c r="M22" s="7"/>
    </row>
    <row r="23" customFormat="false" ht="15" hidden="false" customHeight="false" outlineLevel="0" collapsed="false">
      <c r="A23" s="12" t="s">
        <v>29</v>
      </c>
      <c r="B23" s="12" t="s">
        <v>81</v>
      </c>
      <c r="C23" s="12" t="s">
        <v>82</v>
      </c>
      <c r="D23" s="12" t="s">
        <v>43</v>
      </c>
      <c r="E23" s="13" t="s">
        <v>83</v>
      </c>
      <c r="F23" s="14" t="n">
        <v>699</v>
      </c>
      <c r="G23" s="12" t="n">
        <v>1.5</v>
      </c>
      <c r="H23" s="9"/>
      <c r="I23" s="15" t="str">
        <f aca="false">IF(H23="","",H23-F23)</f>
        <v/>
      </c>
      <c r="J23" s="16" t="str">
        <f aca="false">IF(H23="","",(H23-F23)/F23)</f>
        <v/>
      </c>
      <c r="K23" s="16" t="n">
        <f aca="false">IF(G23=0,"",F23/G23)</f>
        <v>466</v>
      </c>
      <c r="L23" s="12" t="str">
        <f aca="false">IF(OR(H23="",G23=0),"",H23/G23)</f>
        <v/>
      </c>
      <c r="M23" s="13"/>
    </row>
    <row r="24" customFormat="false" ht="15" hidden="false" customHeight="false" outlineLevel="0" collapsed="false">
      <c r="A24" s="6" t="s">
        <v>29</v>
      </c>
      <c r="B24" s="6" t="s">
        <v>81</v>
      </c>
      <c r="C24" s="6" t="s">
        <v>82</v>
      </c>
      <c r="D24" s="6" t="s">
        <v>84</v>
      </c>
      <c r="E24" s="7" t="s">
        <v>85</v>
      </c>
      <c r="F24" s="8" t="n">
        <v>1099</v>
      </c>
      <c r="G24" s="6" t="n">
        <v>2.5</v>
      </c>
      <c r="H24" s="9"/>
      <c r="I24" s="10" t="str">
        <f aca="false">IF(H24="","",H24-F24)</f>
        <v/>
      </c>
      <c r="J24" s="11" t="str">
        <f aca="false">IF(H24="","",(H24-F24)/F24)</f>
        <v/>
      </c>
      <c r="K24" s="11" t="n">
        <f aca="false">IF(G24=0,"",F24/G24)</f>
        <v>439.6</v>
      </c>
      <c r="L24" s="6" t="str">
        <f aca="false">IF(OR(H24="",G24=0),"",H24/G24)</f>
        <v/>
      </c>
      <c r="M24" s="7"/>
    </row>
    <row r="25" customFormat="false" ht="15" hidden="false" customHeight="false" outlineLevel="0" collapsed="false">
      <c r="A25" s="12" t="s">
        <v>29</v>
      </c>
      <c r="B25" s="12" t="s">
        <v>81</v>
      </c>
      <c r="C25" s="12" t="s">
        <v>82</v>
      </c>
      <c r="D25" s="12" t="s">
        <v>86</v>
      </c>
      <c r="E25" s="13" t="s">
        <v>87</v>
      </c>
      <c r="F25" s="14" t="n">
        <v>1499</v>
      </c>
      <c r="G25" s="12" t="n">
        <v>3.5</v>
      </c>
      <c r="H25" s="9"/>
      <c r="I25" s="15" t="str">
        <f aca="false">IF(H25="","",H25-F25)</f>
        <v/>
      </c>
      <c r="J25" s="16" t="str">
        <f aca="false">IF(H25="","",(H25-F25)/F25)</f>
        <v/>
      </c>
      <c r="K25" s="16" t="n">
        <f aca="false">IF(G25=0,"",F25/G25)</f>
        <v>428.285714285714</v>
      </c>
      <c r="L25" s="12" t="str">
        <f aca="false">IF(OR(H25="",G25=0),"",H25/G25)</f>
        <v/>
      </c>
      <c r="M25" s="13"/>
    </row>
    <row r="26" customFormat="false" ht="15" hidden="false" customHeight="false" outlineLevel="0" collapsed="false">
      <c r="A26" s="6" t="s">
        <v>29</v>
      </c>
      <c r="B26" s="6" t="s">
        <v>88</v>
      </c>
      <c r="C26" s="6" t="s">
        <v>89</v>
      </c>
      <c r="D26" s="6" t="s">
        <v>90</v>
      </c>
      <c r="E26" s="7"/>
      <c r="F26" s="8" t="n">
        <v>399</v>
      </c>
      <c r="G26" s="6" t="n">
        <v>1</v>
      </c>
      <c r="H26" s="9"/>
      <c r="I26" s="10" t="str">
        <f aca="false">IF(H26="","",H26-F26)</f>
        <v/>
      </c>
      <c r="J26" s="11" t="str">
        <f aca="false">IF(H26="","",(H26-F26)/F26)</f>
        <v/>
      </c>
      <c r="K26" s="11" t="n">
        <f aca="false">IF(G26=0,"",F26/G26)</f>
        <v>399</v>
      </c>
      <c r="L26" s="6" t="str">
        <f aca="false">IF(OR(H26="",G26=0),"",H26/G26)</f>
        <v/>
      </c>
      <c r="M26" s="7"/>
    </row>
    <row r="27" customFormat="false" ht="15" hidden="false" customHeight="false" outlineLevel="0" collapsed="false">
      <c r="A27" s="12" t="s">
        <v>29</v>
      </c>
      <c r="B27" s="12" t="s">
        <v>88</v>
      </c>
      <c r="C27" s="12" t="s">
        <v>89</v>
      </c>
      <c r="D27" s="12" t="s">
        <v>91</v>
      </c>
      <c r="E27" s="13"/>
      <c r="F27" s="14" t="n">
        <v>499</v>
      </c>
      <c r="G27" s="12" t="n">
        <v>1.25</v>
      </c>
      <c r="H27" s="9"/>
      <c r="I27" s="15" t="str">
        <f aca="false">IF(H27="","",H27-F27)</f>
        <v/>
      </c>
      <c r="J27" s="16" t="str">
        <f aca="false">IF(H27="","",(H27-F27)/F27)</f>
        <v/>
      </c>
      <c r="K27" s="16" t="n">
        <f aca="false">IF(G27=0,"",F27/G27)</f>
        <v>399.2</v>
      </c>
      <c r="L27" s="12" t="str">
        <f aca="false">IF(OR(H27="",G27=0),"",H27/G27)</f>
        <v/>
      </c>
      <c r="M27" s="13"/>
    </row>
    <row r="28" customFormat="false" ht="15" hidden="false" customHeight="false" outlineLevel="0" collapsed="false">
      <c r="A28" s="6" t="s">
        <v>29</v>
      </c>
      <c r="B28" s="6" t="s">
        <v>88</v>
      </c>
      <c r="C28" s="6" t="s">
        <v>89</v>
      </c>
      <c r="D28" s="6" t="s">
        <v>92</v>
      </c>
      <c r="E28" s="7"/>
      <c r="F28" s="8" t="n">
        <v>649</v>
      </c>
      <c r="G28" s="6" t="n">
        <v>1.75</v>
      </c>
      <c r="H28" s="9"/>
      <c r="I28" s="10" t="str">
        <f aca="false">IF(H28="","",H28-F28)</f>
        <v/>
      </c>
      <c r="J28" s="11" t="str">
        <f aca="false">IF(H28="","",(H28-F28)/F28)</f>
        <v/>
      </c>
      <c r="K28" s="11" t="n">
        <f aca="false">IF(G28=0,"",F28/G28)</f>
        <v>370.857142857143</v>
      </c>
      <c r="L28" s="6" t="str">
        <f aca="false">IF(OR(H28="",G28=0),"",H28/G28)</f>
        <v/>
      </c>
      <c r="M28" s="7"/>
    </row>
    <row r="29" customFormat="false" ht="15" hidden="false" customHeight="false" outlineLevel="0" collapsed="false">
      <c r="A29" s="12" t="s">
        <v>29</v>
      </c>
      <c r="B29" s="12" t="s">
        <v>93</v>
      </c>
      <c r="C29" s="12" t="s">
        <v>94</v>
      </c>
      <c r="D29" s="12" t="s">
        <v>66</v>
      </c>
      <c r="E29" s="13" t="s">
        <v>95</v>
      </c>
      <c r="F29" s="14" t="n">
        <v>999</v>
      </c>
      <c r="G29" s="12" t="n">
        <v>3</v>
      </c>
      <c r="H29" s="9"/>
      <c r="I29" s="15" t="str">
        <f aca="false">IF(H29="","",H29-F29)</f>
        <v/>
      </c>
      <c r="J29" s="16" t="str">
        <f aca="false">IF(H29="","",(H29-F29)/F29)</f>
        <v/>
      </c>
      <c r="K29" s="16" t="n">
        <f aca="false">IF(G29=0,"",F29/G29)</f>
        <v>333</v>
      </c>
      <c r="L29" s="12" t="str">
        <f aca="false">IF(OR(H29="",G29=0),"",H29/G29)</f>
        <v/>
      </c>
      <c r="M29" s="13"/>
    </row>
    <row r="30" customFormat="false" ht="15" hidden="false" customHeight="false" outlineLevel="0" collapsed="false">
      <c r="A30" s="6" t="s">
        <v>29</v>
      </c>
      <c r="B30" s="6" t="s">
        <v>93</v>
      </c>
      <c r="C30" s="6" t="s">
        <v>94</v>
      </c>
      <c r="D30" s="6" t="s">
        <v>68</v>
      </c>
      <c r="E30" s="7" t="s">
        <v>96</v>
      </c>
      <c r="F30" s="8" t="n">
        <v>1799</v>
      </c>
      <c r="G30" s="6" t="n">
        <v>5</v>
      </c>
      <c r="H30" s="9"/>
      <c r="I30" s="10" t="str">
        <f aca="false">IF(H30="","",H30-F30)</f>
        <v/>
      </c>
      <c r="J30" s="11" t="str">
        <f aca="false">IF(H30="","",(H30-F30)/F30)</f>
        <v/>
      </c>
      <c r="K30" s="11" t="n">
        <f aca="false">IF(G30=0,"",F30/G30)</f>
        <v>359.8</v>
      </c>
      <c r="L30" s="6" t="str">
        <f aca="false">IF(OR(H30="",G30=0),"",H30/G30)</f>
        <v/>
      </c>
      <c r="M30" s="7"/>
    </row>
    <row r="31" customFormat="false" ht="15" hidden="false" customHeight="false" outlineLevel="0" collapsed="false">
      <c r="A31" s="12" t="s">
        <v>29</v>
      </c>
      <c r="B31" s="12" t="s">
        <v>93</v>
      </c>
      <c r="C31" s="12" t="s">
        <v>94</v>
      </c>
      <c r="D31" s="12" t="s">
        <v>45</v>
      </c>
      <c r="E31" s="13" t="s">
        <v>97</v>
      </c>
      <c r="F31" s="14" t="n">
        <v>2999</v>
      </c>
      <c r="G31" s="12" t="n">
        <v>8</v>
      </c>
      <c r="H31" s="9"/>
      <c r="I31" s="15" t="str">
        <f aca="false">IF(H31="","",H31-F31)</f>
        <v/>
      </c>
      <c r="J31" s="16" t="str">
        <f aca="false">IF(H31="","",(H31-F31)/F31)</f>
        <v/>
      </c>
      <c r="K31" s="16" t="n">
        <f aca="false">IF(G31=0,"",F31/G31)</f>
        <v>374.875</v>
      </c>
      <c r="L31" s="12" t="str">
        <f aca="false">IF(OR(H31="",G31=0),"",H31/G31)</f>
        <v/>
      </c>
      <c r="M31" s="13"/>
    </row>
    <row r="32" customFormat="false" ht="15" hidden="false" customHeight="false" outlineLevel="0" collapsed="false">
      <c r="A32" s="6" t="s">
        <v>29</v>
      </c>
      <c r="B32" s="6" t="s">
        <v>98</v>
      </c>
      <c r="C32" s="6" t="s">
        <v>99</v>
      </c>
      <c r="D32" s="6" t="s">
        <v>32</v>
      </c>
      <c r="E32" s="7" t="s">
        <v>100</v>
      </c>
      <c r="F32" s="8" t="n">
        <v>1299</v>
      </c>
      <c r="G32" s="6" t="n">
        <v>5</v>
      </c>
      <c r="H32" s="9"/>
      <c r="I32" s="10" t="str">
        <f aca="false">IF(H32="","",H32-F32)</f>
        <v/>
      </c>
      <c r="J32" s="11" t="str">
        <f aca="false">IF(H32="","",(H32-F32)/F32)</f>
        <v/>
      </c>
      <c r="K32" s="11" t="n">
        <f aca="false">IF(G32=0,"",F32/G32)</f>
        <v>259.8</v>
      </c>
      <c r="L32" s="6" t="str">
        <f aca="false">IF(OR(H32="",G32=0),"",H32/G32)</f>
        <v/>
      </c>
      <c r="M32" s="7"/>
    </row>
    <row r="33" customFormat="false" ht="15" hidden="false" customHeight="false" outlineLevel="0" collapsed="false">
      <c r="A33" s="12" t="s">
        <v>29</v>
      </c>
      <c r="B33" s="12" t="s">
        <v>98</v>
      </c>
      <c r="C33" s="12" t="s">
        <v>99</v>
      </c>
      <c r="D33" s="12" t="s">
        <v>35</v>
      </c>
      <c r="E33" s="13" t="s">
        <v>100</v>
      </c>
      <c r="F33" s="14" t="n">
        <v>1899</v>
      </c>
      <c r="G33" s="12" t="n">
        <v>7</v>
      </c>
      <c r="H33" s="9"/>
      <c r="I33" s="15" t="str">
        <f aca="false">IF(H33="","",H33-F33)</f>
        <v/>
      </c>
      <c r="J33" s="16" t="str">
        <f aca="false">IF(H33="","",(H33-F33)/F33)</f>
        <v/>
      </c>
      <c r="K33" s="16" t="n">
        <f aca="false">IF(G33=0,"",F33/G33)</f>
        <v>271.285714285714</v>
      </c>
      <c r="L33" s="12" t="str">
        <f aca="false">IF(OR(H33="",G33=0),"",H33/G33)</f>
        <v/>
      </c>
      <c r="M33" s="13"/>
    </row>
    <row r="34" customFormat="false" ht="15" hidden="false" customHeight="false" outlineLevel="0" collapsed="false">
      <c r="A34" s="6" t="s">
        <v>29</v>
      </c>
      <c r="B34" s="6" t="s">
        <v>98</v>
      </c>
      <c r="C34" s="6" t="s">
        <v>99</v>
      </c>
      <c r="D34" s="6" t="s">
        <v>37</v>
      </c>
      <c r="E34" s="7" t="s">
        <v>100</v>
      </c>
      <c r="F34" s="8" t="n">
        <v>2599</v>
      </c>
      <c r="G34" s="6" t="n">
        <v>10</v>
      </c>
      <c r="H34" s="9"/>
      <c r="I34" s="10" t="str">
        <f aca="false">IF(H34="","",H34-F34)</f>
        <v/>
      </c>
      <c r="J34" s="11" t="str">
        <f aca="false">IF(H34="","",(H34-F34)/F34)</f>
        <v/>
      </c>
      <c r="K34" s="11" t="n">
        <f aca="false">IF(G34=0,"",F34/G34)</f>
        <v>259.9</v>
      </c>
      <c r="L34" s="6" t="str">
        <f aca="false">IF(OR(H34="",G34=0),"",H34/G34)</f>
        <v/>
      </c>
      <c r="M34" s="7"/>
    </row>
    <row r="35" customFormat="false" ht="15" hidden="false" customHeight="false" outlineLevel="0" collapsed="false">
      <c r="A35" s="12" t="s">
        <v>29</v>
      </c>
      <c r="B35" s="12" t="s">
        <v>101</v>
      </c>
      <c r="C35" s="12" t="s">
        <v>102</v>
      </c>
      <c r="D35" s="12" t="s">
        <v>103</v>
      </c>
      <c r="E35" s="13"/>
      <c r="F35" s="14" t="n">
        <v>399</v>
      </c>
      <c r="G35" s="12" t="n">
        <v>1</v>
      </c>
      <c r="H35" s="9"/>
      <c r="I35" s="15" t="str">
        <f aca="false">IF(H35="","",H35-F35)</f>
        <v/>
      </c>
      <c r="J35" s="16" t="str">
        <f aca="false">IF(H35="","",(H35-F35)/F35)</f>
        <v/>
      </c>
      <c r="K35" s="16" t="n">
        <f aca="false">IF(G35=0,"",F35/G35)</f>
        <v>399</v>
      </c>
      <c r="L35" s="12" t="str">
        <f aca="false">IF(OR(H35="",G35=0),"",H35/G35)</f>
        <v/>
      </c>
      <c r="M35" s="13"/>
    </row>
    <row r="36" customFormat="false" ht="15" hidden="false" customHeight="false" outlineLevel="0" collapsed="false">
      <c r="A36" s="6" t="s">
        <v>29</v>
      </c>
      <c r="B36" s="6" t="s">
        <v>101</v>
      </c>
      <c r="C36" s="6" t="s">
        <v>102</v>
      </c>
      <c r="D36" s="6" t="s">
        <v>104</v>
      </c>
      <c r="E36" s="7"/>
      <c r="F36" s="8" t="n">
        <v>549</v>
      </c>
      <c r="G36" s="6" t="n">
        <v>1.5</v>
      </c>
      <c r="H36" s="9"/>
      <c r="I36" s="10" t="str">
        <f aca="false">IF(H36="","",H36-F36)</f>
        <v/>
      </c>
      <c r="J36" s="11" t="str">
        <f aca="false">IF(H36="","",(H36-F36)/F36)</f>
        <v/>
      </c>
      <c r="K36" s="11" t="n">
        <f aca="false">IF(G36=0,"",F36/G36)</f>
        <v>366</v>
      </c>
      <c r="L36" s="6" t="str">
        <f aca="false">IF(OR(H36="",G36=0),"",H36/G36)</f>
        <v/>
      </c>
      <c r="M36" s="7"/>
    </row>
    <row r="37" customFormat="false" ht="15" hidden="false" customHeight="false" outlineLevel="0" collapsed="false">
      <c r="A37" s="12" t="s">
        <v>29</v>
      </c>
      <c r="B37" s="12" t="s">
        <v>101</v>
      </c>
      <c r="C37" s="12" t="s">
        <v>102</v>
      </c>
      <c r="D37" s="12" t="s">
        <v>105</v>
      </c>
      <c r="E37" s="13"/>
      <c r="F37" s="14" t="n">
        <v>699</v>
      </c>
      <c r="G37" s="12" t="n">
        <v>2</v>
      </c>
      <c r="H37" s="9"/>
      <c r="I37" s="15" t="str">
        <f aca="false">IF(H37="","",H37-F37)</f>
        <v/>
      </c>
      <c r="J37" s="16" t="str">
        <f aca="false">IF(H37="","",(H37-F37)/F37)</f>
        <v/>
      </c>
      <c r="K37" s="16" t="n">
        <f aca="false">IF(G37=0,"",F37/G37)</f>
        <v>349.5</v>
      </c>
      <c r="L37" s="12" t="str">
        <f aca="false">IF(OR(H37="",G37=0),"",H37/G37)</f>
        <v/>
      </c>
      <c r="M37" s="13"/>
    </row>
    <row r="38" customFormat="false" ht="15" hidden="false" customHeight="false" outlineLevel="0" collapsed="false">
      <c r="A38" s="6" t="s">
        <v>29</v>
      </c>
      <c r="B38" s="6" t="s">
        <v>106</v>
      </c>
      <c r="C38" s="6" t="s">
        <v>107</v>
      </c>
      <c r="D38" s="6" t="s">
        <v>108</v>
      </c>
      <c r="E38" s="7"/>
      <c r="F38" s="8" t="n">
        <v>349</v>
      </c>
      <c r="G38" s="6" t="n">
        <v>1</v>
      </c>
      <c r="H38" s="9"/>
      <c r="I38" s="10" t="str">
        <f aca="false">IF(H38="","",H38-F38)</f>
        <v/>
      </c>
      <c r="J38" s="11" t="str">
        <f aca="false">IF(H38="","",(H38-F38)/F38)</f>
        <v/>
      </c>
      <c r="K38" s="11" t="n">
        <f aca="false">IF(G38=0,"",F38/G38)</f>
        <v>349</v>
      </c>
      <c r="L38" s="6" t="str">
        <f aca="false">IF(OR(H38="",G38=0),"",H38/G38)</f>
        <v/>
      </c>
      <c r="M38" s="7"/>
    </row>
    <row r="39" customFormat="false" ht="15" hidden="false" customHeight="false" outlineLevel="0" collapsed="false">
      <c r="A39" s="12" t="s">
        <v>29</v>
      </c>
      <c r="B39" s="12" t="s">
        <v>106</v>
      </c>
      <c r="C39" s="12" t="s">
        <v>107</v>
      </c>
      <c r="D39" s="12" t="s">
        <v>109</v>
      </c>
      <c r="E39" s="13"/>
      <c r="F39" s="14" t="n">
        <v>599</v>
      </c>
      <c r="G39" s="12" t="n">
        <v>1.75</v>
      </c>
      <c r="H39" s="9"/>
      <c r="I39" s="15" t="str">
        <f aca="false">IF(H39="","",H39-F39)</f>
        <v/>
      </c>
      <c r="J39" s="16" t="str">
        <f aca="false">IF(H39="","",(H39-F39)/F39)</f>
        <v/>
      </c>
      <c r="K39" s="16" t="n">
        <f aca="false">IF(G39=0,"",F39/G39)</f>
        <v>342.285714285714</v>
      </c>
      <c r="L39" s="12" t="str">
        <f aca="false">IF(OR(H39="",G39=0),"",H39/G39)</f>
        <v/>
      </c>
      <c r="M39" s="13"/>
    </row>
    <row r="40" customFormat="false" ht="15" hidden="false" customHeight="false" outlineLevel="0" collapsed="false">
      <c r="A40" s="6" t="s">
        <v>29</v>
      </c>
      <c r="B40" s="6" t="s">
        <v>106</v>
      </c>
      <c r="C40" s="6" t="s">
        <v>107</v>
      </c>
      <c r="D40" s="6" t="s">
        <v>110</v>
      </c>
      <c r="E40" s="7"/>
      <c r="F40" s="8" t="n">
        <v>899</v>
      </c>
      <c r="G40" s="6" t="n">
        <v>2.5</v>
      </c>
      <c r="H40" s="9"/>
      <c r="I40" s="10" t="str">
        <f aca="false">IF(H40="","",H40-F40)</f>
        <v/>
      </c>
      <c r="J40" s="11" t="str">
        <f aca="false">IF(H40="","",(H40-F40)/F40)</f>
        <v/>
      </c>
      <c r="K40" s="11" t="n">
        <f aca="false">IF(G40=0,"",F40/G40)</f>
        <v>359.6</v>
      </c>
      <c r="L40" s="6" t="str">
        <f aca="false">IF(OR(H40="",G40=0),"",H40/G40)</f>
        <v/>
      </c>
      <c r="M40" s="7"/>
    </row>
    <row r="41" customFormat="false" ht="15" hidden="false" customHeight="false" outlineLevel="0" collapsed="false">
      <c r="A41" s="12" t="s">
        <v>29</v>
      </c>
      <c r="B41" s="12" t="s">
        <v>111</v>
      </c>
      <c r="C41" s="12" t="s">
        <v>112</v>
      </c>
      <c r="D41" s="12" t="s">
        <v>66</v>
      </c>
      <c r="E41" s="13" t="s">
        <v>113</v>
      </c>
      <c r="F41" s="14" t="n">
        <v>499</v>
      </c>
      <c r="G41" s="12" t="n">
        <v>2</v>
      </c>
      <c r="H41" s="9"/>
      <c r="I41" s="15" t="str">
        <f aca="false">IF(H41="","",H41-F41)</f>
        <v/>
      </c>
      <c r="J41" s="16" t="str">
        <f aca="false">IF(H41="","",(H41-F41)/F41)</f>
        <v/>
      </c>
      <c r="K41" s="16" t="n">
        <f aca="false">IF(G41=0,"",F41/G41)</f>
        <v>249.5</v>
      </c>
      <c r="L41" s="12" t="str">
        <f aca="false">IF(OR(H41="",G41=0),"",H41/G41)</f>
        <v/>
      </c>
      <c r="M41" s="13"/>
    </row>
    <row r="42" customFormat="false" ht="15" hidden="false" customHeight="false" outlineLevel="0" collapsed="false">
      <c r="A42" s="6" t="s">
        <v>29</v>
      </c>
      <c r="B42" s="6" t="s">
        <v>111</v>
      </c>
      <c r="C42" s="6" t="s">
        <v>112</v>
      </c>
      <c r="D42" s="6" t="s">
        <v>68</v>
      </c>
      <c r="E42" s="7" t="s">
        <v>114</v>
      </c>
      <c r="F42" s="8" t="n">
        <v>799</v>
      </c>
      <c r="G42" s="6" t="n">
        <v>3</v>
      </c>
      <c r="H42" s="9"/>
      <c r="I42" s="10" t="str">
        <f aca="false">IF(H42="","",H42-F42)</f>
        <v/>
      </c>
      <c r="J42" s="11" t="str">
        <f aca="false">IF(H42="","",(H42-F42)/F42)</f>
        <v/>
      </c>
      <c r="K42" s="11" t="n">
        <f aca="false">IF(G42=0,"",F42/G42)</f>
        <v>266.333333333333</v>
      </c>
      <c r="L42" s="6" t="str">
        <f aca="false">IF(OR(H42="",G42=0),"",H42/G42)</f>
        <v/>
      </c>
      <c r="M42" s="7"/>
    </row>
    <row r="43" customFormat="false" ht="15" hidden="false" customHeight="false" outlineLevel="0" collapsed="false">
      <c r="A43" s="12" t="s">
        <v>29</v>
      </c>
      <c r="B43" s="12" t="s">
        <v>111</v>
      </c>
      <c r="C43" s="12" t="s">
        <v>112</v>
      </c>
      <c r="D43" s="12" t="s">
        <v>45</v>
      </c>
      <c r="E43" s="13" t="s">
        <v>115</v>
      </c>
      <c r="F43" s="14" t="n">
        <v>1299</v>
      </c>
      <c r="G43" s="12" t="n">
        <v>4.5</v>
      </c>
      <c r="H43" s="9"/>
      <c r="I43" s="15" t="str">
        <f aca="false">IF(H43="","",H43-F43)</f>
        <v/>
      </c>
      <c r="J43" s="16" t="str">
        <f aca="false">IF(H43="","",(H43-F43)/F43)</f>
        <v/>
      </c>
      <c r="K43" s="16" t="n">
        <f aca="false">IF(G43=0,"",F43/G43)</f>
        <v>288.666666666667</v>
      </c>
      <c r="L43" s="12" t="str">
        <f aca="false">IF(OR(H43="",G43=0),"",H43/G43)</f>
        <v/>
      </c>
      <c r="M43" s="13"/>
    </row>
    <row r="44" customFormat="false" ht="15" hidden="false" customHeight="false" outlineLevel="0" collapsed="false">
      <c r="A44" s="6" t="s">
        <v>29</v>
      </c>
      <c r="B44" s="6" t="s">
        <v>116</v>
      </c>
      <c r="C44" s="6" t="s">
        <v>99</v>
      </c>
      <c r="D44" s="6" t="s">
        <v>32</v>
      </c>
      <c r="E44" s="7" t="s">
        <v>117</v>
      </c>
      <c r="F44" s="8" t="n">
        <v>2499</v>
      </c>
      <c r="G44" s="6" t="n">
        <v>6</v>
      </c>
      <c r="H44" s="9"/>
      <c r="I44" s="10" t="str">
        <f aca="false">IF(H44="","",H44-F44)</f>
        <v/>
      </c>
      <c r="J44" s="11" t="str">
        <f aca="false">IF(H44="","",(H44-F44)/F44)</f>
        <v/>
      </c>
      <c r="K44" s="11" t="n">
        <f aca="false">IF(G44=0,"",F44/G44)</f>
        <v>416.5</v>
      </c>
      <c r="L44" s="6" t="str">
        <f aca="false">IF(OR(H44="",G44=0),"",H44/G44)</f>
        <v/>
      </c>
      <c r="M44" s="7"/>
    </row>
    <row r="45" customFormat="false" ht="15" hidden="false" customHeight="false" outlineLevel="0" collapsed="false">
      <c r="A45" s="12" t="s">
        <v>29</v>
      </c>
      <c r="B45" s="12" t="s">
        <v>116</v>
      </c>
      <c r="C45" s="12" t="s">
        <v>99</v>
      </c>
      <c r="D45" s="12" t="s">
        <v>35</v>
      </c>
      <c r="E45" s="13" t="s">
        <v>117</v>
      </c>
      <c r="F45" s="14" t="n">
        <v>3499</v>
      </c>
      <c r="G45" s="12" t="n">
        <v>8</v>
      </c>
      <c r="H45" s="9"/>
      <c r="I45" s="15" t="str">
        <f aca="false">IF(H45="","",H45-F45)</f>
        <v/>
      </c>
      <c r="J45" s="16" t="str">
        <f aca="false">IF(H45="","",(H45-F45)/F45)</f>
        <v/>
      </c>
      <c r="K45" s="16" t="n">
        <f aca="false">IF(G45=0,"",F45/G45)</f>
        <v>437.375</v>
      </c>
      <c r="L45" s="12" t="str">
        <f aca="false">IF(OR(H45="",G45=0),"",H45/G45)</f>
        <v/>
      </c>
      <c r="M45" s="13"/>
    </row>
    <row r="46" customFormat="false" ht="15" hidden="false" customHeight="false" outlineLevel="0" collapsed="false">
      <c r="A46" s="6" t="s">
        <v>29</v>
      </c>
      <c r="B46" s="6" t="s">
        <v>116</v>
      </c>
      <c r="C46" s="6" t="s">
        <v>99</v>
      </c>
      <c r="D46" s="6" t="s">
        <v>118</v>
      </c>
      <c r="E46" s="7" t="s">
        <v>117</v>
      </c>
      <c r="F46" s="8" t="n">
        <v>4999</v>
      </c>
      <c r="G46" s="6" t="n">
        <v>12</v>
      </c>
      <c r="H46" s="9"/>
      <c r="I46" s="10" t="str">
        <f aca="false">IF(H46="","",H46-F46)</f>
        <v/>
      </c>
      <c r="J46" s="11" t="str">
        <f aca="false">IF(H46="","",(H46-F46)/F46)</f>
        <v/>
      </c>
      <c r="K46" s="11" t="n">
        <f aca="false">IF(G46=0,"",F46/G46)</f>
        <v>416.583333333333</v>
      </c>
      <c r="L46" s="6" t="str">
        <f aca="false">IF(OR(H46="",G46=0),"",H46/G46)</f>
        <v/>
      </c>
      <c r="M46" s="7"/>
    </row>
    <row r="47" customFormat="false" ht="15" hidden="false" customHeight="false" outlineLevel="0" collapsed="false">
      <c r="A47" s="12" t="s">
        <v>29</v>
      </c>
      <c r="B47" s="12" t="s">
        <v>119</v>
      </c>
      <c r="C47" s="12" t="s">
        <v>120</v>
      </c>
      <c r="D47" s="12" t="s">
        <v>66</v>
      </c>
      <c r="E47" s="13" t="s">
        <v>95</v>
      </c>
      <c r="F47" s="14" t="n">
        <v>799</v>
      </c>
      <c r="G47" s="12" t="n">
        <v>1.5</v>
      </c>
      <c r="H47" s="9"/>
      <c r="I47" s="15" t="str">
        <f aca="false">IF(H47="","",H47-F47)</f>
        <v/>
      </c>
      <c r="J47" s="16" t="str">
        <f aca="false">IF(H47="","",(H47-F47)/F47)</f>
        <v/>
      </c>
      <c r="K47" s="16" t="n">
        <f aca="false">IF(G47=0,"",F47/G47)</f>
        <v>532.666666666667</v>
      </c>
      <c r="L47" s="12" t="str">
        <f aca="false">IF(OR(H47="",G47=0),"",H47/G47)</f>
        <v/>
      </c>
      <c r="M47" s="13"/>
    </row>
    <row r="48" customFormat="false" ht="15" hidden="false" customHeight="false" outlineLevel="0" collapsed="false">
      <c r="A48" s="6" t="s">
        <v>29</v>
      </c>
      <c r="B48" s="6" t="s">
        <v>119</v>
      </c>
      <c r="C48" s="6" t="s">
        <v>120</v>
      </c>
      <c r="D48" s="6" t="s">
        <v>68</v>
      </c>
      <c r="E48" s="7" t="s">
        <v>121</v>
      </c>
      <c r="F48" s="8" t="n">
        <v>1299</v>
      </c>
      <c r="G48" s="6" t="n">
        <v>2.5</v>
      </c>
      <c r="H48" s="9"/>
      <c r="I48" s="10" t="str">
        <f aca="false">IF(H48="","",H48-F48)</f>
        <v/>
      </c>
      <c r="J48" s="11" t="str">
        <f aca="false">IF(H48="","",(H48-F48)/F48)</f>
        <v/>
      </c>
      <c r="K48" s="11" t="n">
        <f aca="false">IF(G48=0,"",F48/G48)</f>
        <v>519.6</v>
      </c>
      <c r="L48" s="6" t="str">
        <f aca="false">IF(OR(H48="",G48=0),"",H48/G48)</f>
        <v/>
      </c>
      <c r="M48" s="7"/>
    </row>
    <row r="49" customFormat="false" ht="15" hidden="false" customHeight="false" outlineLevel="0" collapsed="false">
      <c r="A49" s="12" t="s">
        <v>29</v>
      </c>
      <c r="B49" s="12" t="s">
        <v>119</v>
      </c>
      <c r="C49" s="12" t="s">
        <v>120</v>
      </c>
      <c r="D49" s="12" t="s">
        <v>45</v>
      </c>
      <c r="E49" s="13" t="s">
        <v>122</v>
      </c>
      <c r="F49" s="14" t="n">
        <v>1999</v>
      </c>
      <c r="G49" s="12" t="n">
        <v>4</v>
      </c>
      <c r="H49" s="9"/>
      <c r="I49" s="15" t="str">
        <f aca="false">IF(H49="","",H49-F49)</f>
        <v/>
      </c>
      <c r="J49" s="16" t="str">
        <f aca="false">IF(H49="","",(H49-F49)/F49)</f>
        <v/>
      </c>
      <c r="K49" s="16" t="n">
        <f aca="false">IF(G49=0,"",F49/G49)</f>
        <v>499.75</v>
      </c>
      <c r="L49" s="12" t="str">
        <f aca="false">IF(OR(H49="",G49=0),"",H49/G49)</f>
        <v/>
      </c>
      <c r="M49" s="13"/>
    </row>
    <row r="50" customFormat="false" ht="15" hidden="false" customHeight="false" outlineLevel="0" collapsed="false">
      <c r="A50" s="6" t="s">
        <v>29</v>
      </c>
      <c r="B50" s="6" t="s">
        <v>123</v>
      </c>
      <c r="C50" s="6" t="s">
        <v>124</v>
      </c>
      <c r="D50" s="6" t="s">
        <v>125</v>
      </c>
      <c r="E50" s="7"/>
      <c r="F50" s="8" t="n">
        <v>349</v>
      </c>
      <c r="G50" s="6" t="n">
        <v>1.5</v>
      </c>
      <c r="H50" s="9"/>
      <c r="I50" s="10" t="str">
        <f aca="false">IF(H50="","",H50-F50)</f>
        <v/>
      </c>
      <c r="J50" s="11" t="str">
        <f aca="false">IF(H50="","",(H50-F50)/F50)</f>
        <v/>
      </c>
      <c r="K50" s="11" t="n">
        <f aca="false">IF(G50=0,"",F50/G50)</f>
        <v>232.666666666667</v>
      </c>
      <c r="L50" s="6" t="str">
        <f aca="false">IF(OR(H50="",G50=0),"",H50/G50)</f>
        <v/>
      </c>
      <c r="M50" s="7"/>
    </row>
    <row r="51" customFormat="false" ht="15" hidden="false" customHeight="false" outlineLevel="0" collapsed="false">
      <c r="A51" s="12" t="s">
        <v>29</v>
      </c>
      <c r="B51" s="12" t="s">
        <v>123</v>
      </c>
      <c r="C51" s="12" t="s">
        <v>124</v>
      </c>
      <c r="D51" s="12" t="s">
        <v>126</v>
      </c>
      <c r="E51" s="13"/>
      <c r="F51" s="14" t="n">
        <v>599</v>
      </c>
      <c r="G51" s="12" t="n">
        <v>2.5</v>
      </c>
      <c r="H51" s="9"/>
      <c r="I51" s="15" t="str">
        <f aca="false">IF(H51="","",H51-F51)</f>
        <v/>
      </c>
      <c r="J51" s="16" t="str">
        <f aca="false">IF(H51="","",(H51-F51)/F51)</f>
        <v/>
      </c>
      <c r="K51" s="16" t="n">
        <f aca="false">IF(G51=0,"",F51/G51)</f>
        <v>239.6</v>
      </c>
      <c r="L51" s="12" t="str">
        <f aca="false">IF(OR(H51="",G51=0),"",H51/G51)</f>
        <v/>
      </c>
      <c r="M51" s="13"/>
    </row>
    <row r="52" customFormat="false" ht="15" hidden="false" customHeight="false" outlineLevel="0" collapsed="false">
      <c r="A52" s="6" t="s">
        <v>29</v>
      </c>
      <c r="B52" s="6" t="s">
        <v>123</v>
      </c>
      <c r="C52" s="6" t="s">
        <v>124</v>
      </c>
      <c r="D52" s="6" t="s">
        <v>127</v>
      </c>
      <c r="E52" s="7"/>
      <c r="F52" s="8" t="n">
        <v>949</v>
      </c>
      <c r="G52" s="6" t="n">
        <v>4</v>
      </c>
      <c r="H52" s="9"/>
      <c r="I52" s="10" t="str">
        <f aca="false">IF(H52="","",H52-F52)</f>
        <v/>
      </c>
      <c r="J52" s="11" t="str">
        <f aca="false">IF(H52="","",(H52-F52)/F52)</f>
        <v/>
      </c>
      <c r="K52" s="11" t="n">
        <f aca="false">IF(G52=0,"",F52/G52)</f>
        <v>237.25</v>
      </c>
      <c r="L52" s="6" t="str">
        <f aca="false">IF(OR(H52="",G52=0),"",H52/G52)</f>
        <v/>
      </c>
      <c r="M52" s="7"/>
    </row>
    <row r="53" customFormat="false" ht="15" hidden="false" customHeight="false" outlineLevel="0" collapsed="false">
      <c r="A53" s="17" t="s">
        <v>128</v>
      </c>
      <c r="B53" s="17" t="s">
        <v>129</v>
      </c>
      <c r="C53" s="17" t="s">
        <v>130</v>
      </c>
      <c r="D53" s="17" t="s">
        <v>131</v>
      </c>
      <c r="E53" s="18"/>
      <c r="F53" s="19" t="n">
        <v>699</v>
      </c>
      <c r="G53" s="17" t="n">
        <v>4</v>
      </c>
      <c r="H53" s="9"/>
      <c r="I53" s="20" t="str">
        <f aca="false">IF(H53="","",H53-F53)</f>
        <v/>
      </c>
      <c r="J53" s="21" t="str">
        <f aca="false">IF(H53="","",(H53-F53)/F53)</f>
        <v/>
      </c>
      <c r="K53" s="21" t="n">
        <f aca="false">IF(G53=0,"",F53/G53)</f>
        <v>174.75</v>
      </c>
      <c r="L53" s="17" t="str">
        <f aca="false">IF(OR(H53="",G53=0),"",H53/G53)</f>
        <v/>
      </c>
      <c r="M53" s="18"/>
    </row>
    <row r="54" customFormat="false" ht="15" hidden="false" customHeight="false" outlineLevel="0" collapsed="false">
      <c r="A54" s="17" t="s">
        <v>128</v>
      </c>
      <c r="B54" s="17" t="s">
        <v>129</v>
      </c>
      <c r="C54" s="17" t="s">
        <v>130</v>
      </c>
      <c r="D54" s="17" t="s">
        <v>132</v>
      </c>
      <c r="E54" s="18"/>
      <c r="F54" s="19" t="n">
        <v>1299</v>
      </c>
      <c r="G54" s="17" t="n">
        <v>8</v>
      </c>
      <c r="H54" s="9"/>
      <c r="I54" s="20" t="str">
        <f aca="false">IF(H54="","",H54-F54)</f>
        <v/>
      </c>
      <c r="J54" s="21" t="str">
        <f aca="false">IF(H54="","",(H54-F54)/F54)</f>
        <v/>
      </c>
      <c r="K54" s="21" t="n">
        <f aca="false">IF(G54=0,"",F54/G54)</f>
        <v>162.375</v>
      </c>
      <c r="L54" s="17" t="str">
        <f aca="false">IF(OR(H54="",G54=0),"",H54/G54)</f>
        <v/>
      </c>
      <c r="M54" s="18"/>
    </row>
    <row r="55" customFormat="false" ht="15" hidden="false" customHeight="false" outlineLevel="0" collapsed="false">
      <c r="A55" s="17" t="s">
        <v>128</v>
      </c>
      <c r="B55" s="17" t="s">
        <v>129</v>
      </c>
      <c r="C55" s="17" t="s">
        <v>130</v>
      </c>
      <c r="D55" s="17" t="s">
        <v>133</v>
      </c>
      <c r="E55" s="18"/>
      <c r="F55" s="19" t="n">
        <v>1899</v>
      </c>
      <c r="G55" s="17" t="n">
        <v>12</v>
      </c>
      <c r="H55" s="9"/>
      <c r="I55" s="20" t="str">
        <f aca="false">IF(H55="","",H55-F55)</f>
        <v/>
      </c>
      <c r="J55" s="21" t="str">
        <f aca="false">IF(H55="","",(H55-F55)/F55)</f>
        <v/>
      </c>
      <c r="K55" s="21" t="n">
        <f aca="false">IF(G55=0,"",F55/G55)</f>
        <v>158.25</v>
      </c>
      <c r="L55" s="17" t="str">
        <f aca="false">IF(OR(H55="",G55=0),"",H55/G55)</f>
        <v/>
      </c>
      <c r="M55" s="18"/>
    </row>
    <row r="56" customFormat="false" ht="15" hidden="false" customHeight="false" outlineLevel="0" collapsed="false">
      <c r="A56" s="17" t="s">
        <v>128</v>
      </c>
      <c r="B56" s="17" t="s">
        <v>134</v>
      </c>
      <c r="C56" s="17" t="s">
        <v>135</v>
      </c>
      <c r="D56" s="17" t="s">
        <v>136</v>
      </c>
      <c r="E56" s="18"/>
      <c r="F56" s="19" t="n">
        <v>349</v>
      </c>
      <c r="G56" s="17" t="n">
        <v>2</v>
      </c>
      <c r="H56" s="9"/>
      <c r="I56" s="20" t="str">
        <f aca="false">IF(H56="","",H56-F56)</f>
        <v/>
      </c>
      <c r="J56" s="21" t="str">
        <f aca="false">IF(H56="","",(H56-F56)/F56)</f>
        <v/>
      </c>
      <c r="K56" s="21" t="n">
        <f aca="false">IF(G56=0,"",F56/G56)</f>
        <v>174.5</v>
      </c>
      <c r="L56" s="17" t="str">
        <f aca="false">IF(OR(H56="",G56=0),"",H56/G56)</f>
        <v/>
      </c>
      <c r="M56" s="18"/>
    </row>
    <row r="57" customFormat="false" ht="15" hidden="false" customHeight="false" outlineLevel="0" collapsed="false">
      <c r="A57" s="17" t="s">
        <v>128</v>
      </c>
      <c r="B57" s="17" t="s">
        <v>134</v>
      </c>
      <c r="C57" s="17" t="s">
        <v>135</v>
      </c>
      <c r="D57" s="17" t="s">
        <v>137</v>
      </c>
      <c r="E57" s="18"/>
      <c r="F57" s="19" t="n">
        <v>499</v>
      </c>
      <c r="G57" s="17" t="n">
        <v>3</v>
      </c>
      <c r="H57" s="9"/>
      <c r="I57" s="20" t="str">
        <f aca="false">IF(H57="","",H57-F57)</f>
        <v/>
      </c>
      <c r="J57" s="21" t="str">
        <f aca="false">IF(H57="","",(H57-F57)/F57)</f>
        <v/>
      </c>
      <c r="K57" s="21" t="n">
        <f aca="false">IF(G57=0,"",F57/G57)</f>
        <v>166.333333333333</v>
      </c>
      <c r="L57" s="17" t="str">
        <f aca="false">IF(OR(H57="",G57=0),"",H57/G57)</f>
        <v/>
      </c>
      <c r="M57" s="18"/>
    </row>
    <row r="58" customFormat="false" ht="15" hidden="false" customHeight="false" outlineLevel="0" collapsed="false">
      <c r="A58" s="17" t="s">
        <v>128</v>
      </c>
      <c r="B58" s="17" t="s">
        <v>134</v>
      </c>
      <c r="C58" s="17" t="s">
        <v>135</v>
      </c>
      <c r="D58" s="17" t="s">
        <v>138</v>
      </c>
      <c r="E58" s="18"/>
      <c r="F58" s="19" t="n">
        <v>649</v>
      </c>
      <c r="G58" s="17" t="n">
        <v>4</v>
      </c>
      <c r="H58" s="9"/>
      <c r="I58" s="20" t="str">
        <f aca="false">IF(H58="","",H58-F58)</f>
        <v/>
      </c>
      <c r="J58" s="21" t="str">
        <f aca="false">IF(H58="","",(H58-F58)/F58)</f>
        <v/>
      </c>
      <c r="K58" s="21" t="n">
        <f aca="false">IF(G58=0,"",F58/G58)</f>
        <v>162.25</v>
      </c>
      <c r="L58" s="17" t="str">
        <f aca="false">IF(OR(H58="",G58=0),"",H58/G58)</f>
        <v/>
      </c>
      <c r="M58" s="18"/>
    </row>
    <row r="59" customFormat="false" ht="15" hidden="false" customHeight="false" outlineLevel="0" collapsed="false">
      <c r="A59" s="12" t="s">
        <v>128</v>
      </c>
      <c r="B59" s="12" t="s">
        <v>139</v>
      </c>
      <c r="C59" s="12" t="s">
        <v>140</v>
      </c>
      <c r="D59" s="12" t="s">
        <v>141</v>
      </c>
      <c r="E59" s="13" t="s">
        <v>142</v>
      </c>
      <c r="F59" s="14" t="n">
        <v>399</v>
      </c>
      <c r="G59" s="12" t="n">
        <v>2</v>
      </c>
      <c r="H59" s="9"/>
      <c r="I59" s="15" t="str">
        <f aca="false">IF(H59="","",H59-F59)</f>
        <v/>
      </c>
      <c r="J59" s="16" t="str">
        <f aca="false">IF(H59="","",(H59-F59)/F59)</f>
        <v/>
      </c>
      <c r="K59" s="16" t="n">
        <f aca="false">IF(G59=0,"",F59/G59)</f>
        <v>199.5</v>
      </c>
      <c r="L59" s="12" t="str">
        <f aca="false">IF(OR(H59="",G59=0),"",H59/G59)</f>
        <v/>
      </c>
      <c r="M59" s="13"/>
    </row>
    <row r="60" customFormat="false" ht="15" hidden="false" customHeight="false" outlineLevel="0" collapsed="false">
      <c r="A60" s="6" t="s">
        <v>128</v>
      </c>
      <c r="B60" s="6" t="s">
        <v>139</v>
      </c>
      <c r="C60" s="6" t="s">
        <v>140</v>
      </c>
      <c r="D60" s="6" t="s">
        <v>143</v>
      </c>
      <c r="E60" s="7"/>
      <c r="F60" s="8" t="n">
        <v>699</v>
      </c>
      <c r="G60" s="6" t="n">
        <v>3.5</v>
      </c>
      <c r="H60" s="9"/>
      <c r="I60" s="10" t="str">
        <f aca="false">IF(H60="","",H60-F60)</f>
        <v/>
      </c>
      <c r="J60" s="11" t="str">
        <f aca="false">IF(H60="","",(H60-F60)/F60)</f>
        <v/>
      </c>
      <c r="K60" s="11" t="n">
        <f aca="false">IF(G60=0,"",F60/G60)</f>
        <v>199.714285714286</v>
      </c>
      <c r="L60" s="6" t="str">
        <f aca="false">IF(OR(H60="",G60=0),"",H60/G60)</f>
        <v/>
      </c>
      <c r="M60" s="7"/>
    </row>
    <row r="61" customFormat="false" ht="15" hidden="false" customHeight="false" outlineLevel="0" collapsed="false">
      <c r="A61" s="12" t="s">
        <v>128</v>
      </c>
      <c r="B61" s="12" t="s">
        <v>139</v>
      </c>
      <c r="C61" s="12" t="s">
        <v>140</v>
      </c>
      <c r="D61" s="12" t="s">
        <v>144</v>
      </c>
      <c r="E61" s="13"/>
      <c r="F61" s="14" t="n">
        <v>999</v>
      </c>
      <c r="G61" s="12" t="n">
        <v>5</v>
      </c>
      <c r="H61" s="9"/>
      <c r="I61" s="15" t="str">
        <f aca="false">IF(H61="","",H61-F61)</f>
        <v/>
      </c>
      <c r="J61" s="16" t="str">
        <f aca="false">IF(H61="","",(H61-F61)/F61)</f>
        <v/>
      </c>
      <c r="K61" s="16" t="n">
        <f aca="false">IF(G61=0,"",F61/G61)</f>
        <v>199.8</v>
      </c>
      <c r="L61" s="12" t="str">
        <f aca="false">IF(OR(H61="",G61=0),"",H61/G61)</f>
        <v/>
      </c>
      <c r="M61" s="13"/>
    </row>
    <row r="62" customFormat="false" ht="15" hidden="false" customHeight="false" outlineLevel="0" collapsed="false">
      <c r="A62" s="17" t="s">
        <v>128</v>
      </c>
      <c r="B62" s="17" t="s">
        <v>145</v>
      </c>
      <c r="C62" s="17" t="s">
        <v>146</v>
      </c>
      <c r="D62" s="17" t="s">
        <v>136</v>
      </c>
      <c r="E62" s="18"/>
      <c r="F62" s="19" t="n">
        <v>399</v>
      </c>
      <c r="G62" s="17" t="n">
        <v>2</v>
      </c>
      <c r="H62" s="9"/>
      <c r="I62" s="20" t="str">
        <f aca="false">IF(H62="","",H62-F62)</f>
        <v/>
      </c>
      <c r="J62" s="21" t="str">
        <f aca="false">IF(H62="","",(H62-F62)/F62)</f>
        <v/>
      </c>
      <c r="K62" s="21" t="n">
        <f aca="false">IF(G62=0,"",F62/G62)</f>
        <v>199.5</v>
      </c>
      <c r="L62" s="17" t="str">
        <f aca="false">IF(OR(H62="",G62=0),"",H62/G62)</f>
        <v/>
      </c>
      <c r="M62" s="18"/>
    </row>
    <row r="63" customFormat="false" ht="15" hidden="false" customHeight="false" outlineLevel="0" collapsed="false">
      <c r="A63" s="17" t="s">
        <v>128</v>
      </c>
      <c r="B63" s="17" t="s">
        <v>145</v>
      </c>
      <c r="C63" s="17" t="s">
        <v>146</v>
      </c>
      <c r="D63" s="17" t="s">
        <v>138</v>
      </c>
      <c r="E63" s="18"/>
      <c r="F63" s="19" t="n">
        <v>699</v>
      </c>
      <c r="G63" s="17" t="n">
        <v>4</v>
      </c>
      <c r="H63" s="9"/>
      <c r="I63" s="20" t="str">
        <f aca="false">IF(H63="","",H63-F63)</f>
        <v/>
      </c>
      <c r="J63" s="21" t="str">
        <f aca="false">IF(H63="","",(H63-F63)/F63)</f>
        <v/>
      </c>
      <c r="K63" s="21" t="n">
        <f aca="false">IF(G63=0,"",F63/G63)</f>
        <v>174.75</v>
      </c>
      <c r="L63" s="17" t="str">
        <f aca="false">IF(OR(H63="",G63=0),"",H63/G63)</f>
        <v/>
      </c>
      <c r="M63" s="18"/>
    </row>
    <row r="64" customFormat="false" ht="15" hidden="false" customHeight="false" outlineLevel="0" collapsed="false">
      <c r="A64" s="17" t="s">
        <v>128</v>
      </c>
      <c r="B64" s="17" t="s">
        <v>145</v>
      </c>
      <c r="C64" s="17" t="s">
        <v>146</v>
      </c>
      <c r="D64" s="17" t="s">
        <v>147</v>
      </c>
      <c r="E64" s="18"/>
      <c r="F64" s="19" t="n">
        <v>1299</v>
      </c>
      <c r="G64" s="17" t="n">
        <v>8</v>
      </c>
      <c r="H64" s="9"/>
      <c r="I64" s="20" t="str">
        <f aca="false">IF(H64="","",H64-F64)</f>
        <v/>
      </c>
      <c r="J64" s="21" t="str">
        <f aca="false">IF(H64="","",(H64-F64)/F64)</f>
        <v/>
      </c>
      <c r="K64" s="21" t="n">
        <f aca="false">IF(G64=0,"",F64/G64)</f>
        <v>162.375</v>
      </c>
      <c r="L64" s="17" t="str">
        <f aca="false">IF(OR(H64="",G64=0),"",H64/G64)</f>
        <v/>
      </c>
      <c r="M64" s="18"/>
    </row>
    <row r="65" customFormat="false" ht="15" hidden="false" customHeight="false" outlineLevel="0" collapsed="false">
      <c r="A65" s="17" t="s">
        <v>128</v>
      </c>
      <c r="B65" s="17" t="s">
        <v>148</v>
      </c>
      <c r="C65" s="17" t="s">
        <v>146</v>
      </c>
      <c r="D65" s="17" t="s">
        <v>138</v>
      </c>
      <c r="E65" s="18"/>
      <c r="F65" s="19" t="n">
        <v>999</v>
      </c>
      <c r="G65" s="17" t="n">
        <v>4</v>
      </c>
      <c r="H65" s="9"/>
      <c r="I65" s="20" t="str">
        <f aca="false">IF(H65="","",H65-F65)</f>
        <v/>
      </c>
      <c r="J65" s="21" t="str">
        <f aca="false">IF(H65="","",(H65-F65)/F65)</f>
        <v/>
      </c>
      <c r="K65" s="21" t="n">
        <f aca="false">IF(G65=0,"",F65/G65)</f>
        <v>249.75</v>
      </c>
      <c r="L65" s="17" t="str">
        <f aca="false">IF(OR(H65="",G65=0),"",H65/G65)</f>
        <v/>
      </c>
      <c r="M65" s="18"/>
    </row>
    <row r="66" customFormat="false" ht="15" hidden="false" customHeight="false" outlineLevel="0" collapsed="false">
      <c r="A66" s="17" t="s">
        <v>128</v>
      </c>
      <c r="B66" s="17" t="s">
        <v>148</v>
      </c>
      <c r="C66" s="17" t="s">
        <v>146</v>
      </c>
      <c r="D66" s="17" t="s">
        <v>149</v>
      </c>
      <c r="E66" s="18"/>
      <c r="F66" s="19" t="n">
        <v>1799</v>
      </c>
      <c r="G66" s="17" t="n">
        <v>8</v>
      </c>
      <c r="H66" s="9"/>
      <c r="I66" s="20" t="str">
        <f aca="false">IF(H66="","",H66-F66)</f>
        <v/>
      </c>
      <c r="J66" s="21" t="str">
        <f aca="false">IF(H66="","",(H66-F66)/F66)</f>
        <v/>
      </c>
      <c r="K66" s="21" t="n">
        <f aca="false">IF(G66=0,"",F66/G66)</f>
        <v>224.875</v>
      </c>
      <c r="L66" s="17" t="str">
        <f aca="false">IF(OR(H66="",G66=0),"",H66/G66)</f>
        <v/>
      </c>
      <c r="M66" s="18"/>
    </row>
    <row r="67" customFormat="false" ht="15" hidden="false" customHeight="false" outlineLevel="0" collapsed="false">
      <c r="A67" s="17" t="s">
        <v>128</v>
      </c>
      <c r="B67" s="17" t="s">
        <v>148</v>
      </c>
      <c r="C67" s="17" t="s">
        <v>146</v>
      </c>
      <c r="D67" s="17" t="s">
        <v>150</v>
      </c>
      <c r="E67" s="18"/>
      <c r="F67" s="19" t="n">
        <v>2599</v>
      </c>
      <c r="G67" s="17" t="n">
        <v>12</v>
      </c>
      <c r="H67" s="9"/>
      <c r="I67" s="20" t="str">
        <f aca="false">IF(H67="","",H67-F67)</f>
        <v/>
      </c>
      <c r="J67" s="21" t="str">
        <f aca="false">IF(H67="","",(H67-F67)/F67)</f>
        <v/>
      </c>
      <c r="K67" s="21" t="n">
        <f aca="false">IF(G67=0,"",F67/G67)</f>
        <v>216.583333333333</v>
      </c>
      <c r="L67" s="17" t="str">
        <f aca="false">IF(OR(H67="",G67=0),"",H67/G67)</f>
        <v/>
      </c>
      <c r="M67" s="18"/>
    </row>
    <row r="68" customFormat="false" ht="15" hidden="false" customHeight="false" outlineLevel="0" collapsed="false">
      <c r="A68" s="17" t="s">
        <v>128</v>
      </c>
      <c r="B68" s="17" t="s">
        <v>151</v>
      </c>
      <c r="C68" s="17" t="s">
        <v>152</v>
      </c>
      <c r="D68" s="17" t="s">
        <v>153</v>
      </c>
      <c r="E68" s="18" t="s">
        <v>154</v>
      </c>
      <c r="F68" s="19" t="n">
        <v>399</v>
      </c>
      <c r="G68" s="17" t="n">
        <v>2</v>
      </c>
      <c r="H68" s="9"/>
      <c r="I68" s="20" t="str">
        <f aca="false">IF(H68="","",H68-F68)</f>
        <v/>
      </c>
      <c r="J68" s="21" t="str">
        <f aca="false">IF(H68="","",(H68-F68)/F68)</f>
        <v/>
      </c>
      <c r="K68" s="21" t="n">
        <f aca="false">IF(G68=0,"",F68/G68)</f>
        <v>199.5</v>
      </c>
      <c r="L68" s="17" t="str">
        <f aca="false">IF(OR(H68="",G68=0),"",H68/G68)</f>
        <v/>
      </c>
      <c r="M68" s="18"/>
    </row>
    <row r="69" customFormat="false" ht="15" hidden="false" customHeight="false" outlineLevel="0" collapsed="false">
      <c r="A69" s="17" t="s">
        <v>128</v>
      </c>
      <c r="B69" s="17" t="s">
        <v>151</v>
      </c>
      <c r="C69" s="17" t="s">
        <v>152</v>
      </c>
      <c r="D69" s="17" t="s">
        <v>155</v>
      </c>
      <c r="E69" s="18" t="s">
        <v>156</v>
      </c>
      <c r="F69" s="19" t="n">
        <v>799</v>
      </c>
      <c r="G69" s="17" t="n">
        <v>4</v>
      </c>
      <c r="H69" s="9"/>
      <c r="I69" s="20" t="str">
        <f aca="false">IF(H69="","",H69-F69)</f>
        <v/>
      </c>
      <c r="J69" s="21" t="str">
        <f aca="false">IF(H69="","",(H69-F69)/F69)</f>
        <v/>
      </c>
      <c r="K69" s="21" t="n">
        <f aca="false">IF(G69=0,"",F69/G69)</f>
        <v>199.75</v>
      </c>
      <c r="L69" s="17" t="str">
        <f aca="false">IF(OR(H69="",G69=0),"",H69/G69)</f>
        <v/>
      </c>
      <c r="M69" s="18"/>
    </row>
    <row r="70" customFormat="false" ht="15" hidden="false" customHeight="false" outlineLevel="0" collapsed="false">
      <c r="A70" s="17" t="s">
        <v>128</v>
      </c>
      <c r="B70" s="17" t="s">
        <v>151</v>
      </c>
      <c r="C70" s="17" t="s">
        <v>152</v>
      </c>
      <c r="D70" s="17" t="s">
        <v>157</v>
      </c>
      <c r="E70" s="18" t="s">
        <v>158</v>
      </c>
      <c r="F70" s="19" t="n">
        <v>1499</v>
      </c>
      <c r="G70" s="17" t="n">
        <v>8</v>
      </c>
      <c r="H70" s="9"/>
      <c r="I70" s="20" t="str">
        <f aca="false">IF(H70="","",H70-F70)</f>
        <v/>
      </c>
      <c r="J70" s="21" t="str">
        <f aca="false">IF(H70="","",(H70-F70)/F70)</f>
        <v/>
      </c>
      <c r="K70" s="21" t="n">
        <f aca="false">IF(G70=0,"",F70/G70)</f>
        <v>187.375</v>
      </c>
      <c r="L70" s="17" t="str">
        <f aca="false">IF(OR(H70="",G70=0),"",H70/G70)</f>
        <v/>
      </c>
      <c r="M70" s="18"/>
    </row>
    <row r="71" customFormat="false" ht="15" hidden="false" customHeight="false" outlineLevel="0" collapsed="false">
      <c r="A71" s="12" t="s">
        <v>128</v>
      </c>
      <c r="B71" s="12" t="s">
        <v>159</v>
      </c>
      <c r="C71" s="12" t="s">
        <v>160</v>
      </c>
      <c r="D71" s="12" t="s">
        <v>161</v>
      </c>
      <c r="E71" s="13"/>
      <c r="F71" s="14" t="n">
        <v>149</v>
      </c>
      <c r="G71" s="12" t="n">
        <v>0.33</v>
      </c>
      <c r="H71" s="9"/>
      <c r="I71" s="15" t="str">
        <f aca="false">IF(H71="","",H71-F71)</f>
        <v/>
      </c>
      <c r="J71" s="16" t="str">
        <f aca="false">IF(H71="","",(H71-F71)/F71)</f>
        <v/>
      </c>
      <c r="K71" s="16" t="n">
        <f aca="false">IF(G71=0,"",F71/G71)</f>
        <v>451.515151515152</v>
      </c>
      <c r="L71" s="12" t="str">
        <f aca="false">IF(OR(H71="",G71=0),"",H71/G71)</f>
        <v/>
      </c>
      <c r="M71" s="13"/>
    </row>
    <row r="72" customFormat="false" ht="15" hidden="false" customHeight="false" outlineLevel="0" collapsed="false">
      <c r="A72" s="6" t="s">
        <v>128</v>
      </c>
      <c r="B72" s="6" t="s">
        <v>159</v>
      </c>
      <c r="C72" s="6" t="s">
        <v>160</v>
      </c>
      <c r="D72" s="6" t="s">
        <v>162</v>
      </c>
      <c r="E72" s="7"/>
      <c r="F72" s="8" t="n">
        <v>199</v>
      </c>
      <c r="G72" s="6" t="n">
        <v>0.5</v>
      </c>
      <c r="H72" s="9"/>
      <c r="I72" s="10" t="str">
        <f aca="false">IF(H72="","",H72-F72)</f>
        <v/>
      </c>
      <c r="J72" s="11" t="str">
        <f aca="false">IF(H72="","",(H72-F72)/F72)</f>
        <v/>
      </c>
      <c r="K72" s="11" t="n">
        <f aca="false">IF(G72=0,"",F72/G72)</f>
        <v>398</v>
      </c>
      <c r="L72" s="6" t="str">
        <f aca="false">IF(OR(H72="",G72=0),"",H72/G72)</f>
        <v/>
      </c>
      <c r="M72" s="7"/>
    </row>
    <row r="73" customFormat="false" ht="15" hidden="false" customHeight="false" outlineLevel="0" collapsed="false">
      <c r="A73" s="12" t="s">
        <v>128</v>
      </c>
      <c r="B73" s="12" t="s">
        <v>159</v>
      </c>
      <c r="C73" s="12" t="s">
        <v>160</v>
      </c>
      <c r="D73" s="12" t="s">
        <v>163</v>
      </c>
      <c r="E73" s="13"/>
      <c r="F73" s="14" t="n">
        <v>299</v>
      </c>
      <c r="G73" s="12" t="n">
        <v>0.75</v>
      </c>
      <c r="H73" s="9"/>
      <c r="I73" s="15" t="str">
        <f aca="false">IF(H73="","",H73-F73)</f>
        <v/>
      </c>
      <c r="J73" s="16" t="str">
        <f aca="false">IF(H73="","",(H73-F73)/F73)</f>
        <v/>
      </c>
      <c r="K73" s="16" t="n">
        <f aca="false">IF(G73=0,"",F73/G73)</f>
        <v>398.666666666667</v>
      </c>
      <c r="L73" s="12" t="str">
        <f aca="false">IF(OR(H73="",G73=0),"",H73/G73)</f>
        <v/>
      </c>
      <c r="M73" s="13"/>
    </row>
    <row r="74" customFormat="false" ht="15" hidden="false" customHeight="false" outlineLevel="0" collapsed="false">
      <c r="A74" s="6" t="s">
        <v>128</v>
      </c>
      <c r="B74" s="6" t="s">
        <v>164</v>
      </c>
      <c r="C74" s="6" t="s">
        <v>124</v>
      </c>
      <c r="D74" s="6" t="s">
        <v>165</v>
      </c>
      <c r="E74" s="7" t="s">
        <v>166</v>
      </c>
      <c r="F74" s="8" t="n">
        <v>349</v>
      </c>
      <c r="G74" s="6" t="n">
        <v>1</v>
      </c>
      <c r="H74" s="9"/>
      <c r="I74" s="10" t="str">
        <f aca="false">IF(H74="","",H74-F74)</f>
        <v/>
      </c>
      <c r="J74" s="11" t="str">
        <f aca="false">IF(H74="","",(H74-F74)/F74)</f>
        <v/>
      </c>
      <c r="K74" s="11" t="n">
        <f aca="false">IF(G74=0,"",F74/G74)</f>
        <v>349</v>
      </c>
      <c r="L74" s="6" t="str">
        <f aca="false">IF(OR(H74="",G74=0),"",H74/G74)</f>
        <v/>
      </c>
      <c r="M74" s="7"/>
    </row>
    <row r="75" customFormat="false" ht="15" hidden="false" customHeight="false" outlineLevel="0" collapsed="false">
      <c r="A75" s="12" t="s">
        <v>128</v>
      </c>
      <c r="B75" s="12" t="s">
        <v>164</v>
      </c>
      <c r="C75" s="12" t="s">
        <v>124</v>
      </c>
      <c r="D75" s="12" t="s">
        <v>167</v>
      </c>
      <c r="E75" s="13" t="s">
        <v>154</v>
      </c>
      <c r="F75" s="14" t="n">
        <v>599</v>
      </c>
      <c r="G75" s="12" t="n">
        <v>2</v>
      </c>
      <c r="H75" s="9"/>
      <c r="I75" s="15" t="str">
        <f aca="false">IF(H75="","",H75-F75)</f>
        <v/>
      </c>
      <c r="J75" s="16" t="str">
        <f aca="false">IF(H75="","",(H75-F75)/F75)</f>
        <v/>
      </c>
      <c r="K75" s="16" t="n">
        <f aca="false">IF(G75=0,"",F75/G75)</f>
        <v>299.5</v>
      </c>
      <c r="L75" s="12" t="str">
        <f aca="false">IF(OR(H75="",G75=0),"",H75/G75)</f>
        <v/>
      </c>
      <c r="M75" s="13"/>
    </row>
    <row r="76" customFormat="false" ht="15" hidden="false" customHeight="false" outlineLevel="0" collapsed="false">
      <c r="A76" s="6" t="s">
        <v>128</v>
      </c>
      <c r="B76" s="6" t="s">
        <v>164</v>
      </c>
      <c r="C76" s="6" t="s">
        <v>124</v>
      </c>
      <c r="D76" s="6" t="s">
        <v>168</v>
      </c>
      <c r="E76" s="7" t="s">
        <v>169</v>
      </c>
      <c r="F76" s="8" t="n">
        <v>899</v>
      </c>
      <c r="G76" s="6" t="n">
        <v>3</v>
      </c>
      <c r="H76" s="9"/>
      <c r="I76" s="10" t="str">
        <f aca="false">IF(H76="","",H76-F76)</f>
        <v/>
      </c>
      <c r="J76" s="11" t="str">
        <f aca="false">IF(H76="","",(H76-F76)/F76)</f>
        <v/>
      </c>
      <c r="K76" s="11" t="n">
        <f aca="false">IF(G76=0,"",F76/G76)</f>
        <v>299.666666666667</v>
      </c>
      <c r="L76" s="6" t="str">
        <f aca="false">IF(OR(H76="",G76=0),"",H76/G76)</f>
        <v/>
      </c>
      <c r="M76" s="7"/>
    </row>
    <row r="77" customFormat="false" ht="15" hidden="false" customHeight="false" outlineLevel="0" collapsed="false">
      <c r="A77" s="12" t="s">
        <v>128</v>
      </c>
      <c r="B77" s="12" t="s">
        <v>170</v>
      </c>
      <c r="C77" s="12" t="s">
        <v>171</v>
      </c>
      <c r="D77" s="12" t="s">
        <v>172</v>
      </c>
      <c r="E77" s="13" t="s">
        <v>166</v>
      </c>
      <c r="F77" s="14" t="n">
        <v>249</v>
      </c>
      <c r="G77" s="12" t="n">
        <v>1</v>
      </c>
      <c r="H77" s="9"/>
      <c r="I77" s="15" t="str">
        <f aca="false">IF(H77="","",H77-F77)</f>
        <v/>
      </c>
      <c r="J77" s="16" t="str">
        <f aca="false">IF(H77="","",(H77-F77)/F77)</f>
        <v/>
      </c>
      <c r="K77" s="16" t="n">
        <f aca="false">IF(G77=0,"",F77/G77)</f>
        <v>249</v>
      </c>
      <c r="L77" s="12" t="str">
        <f aca="false">IF(OR(H77="",G77=0),"",H77/G77)</f>
        <v/>
      </c>
      <c r="M77" s="13"/>
    </row>
    <row r="78" customFormat="false" ht="15" hidden="false" customHeight="false" outlineLevel="0" collapsed="false">
      <c r="A78" s="6" t="s">
        <v>128</v>
      </c>
      <c r="B78" s="6" t="s">
        <v>170</v>
      </c>
      <c r="C78" s="6" t="s">
        <v>171</v>
      </c>
      <c r="D78" s="6" t="s">
        <v>173</v>
      </c>
      <c r="E78" s="7" t="s">
        <v>154</v>
      </c>
      <c r="F78" s="8" t="n">
        <v>449</v>
      </c>
      <c r="G78" s="6" t="n">
        <v>2</v>
      </c>
      <c r="H78" s="9"/>
      <c r="I78" s="10" t="str">
        <f aca="false">IF(H78="","",H78-F78)</f>
        <v/>
      </c>
      <c r="J78" s="11" t="str">
        <f aca="false">IF(H78="","",(H78-F78)/F78)</f>
        <v/>
      </c>
      <c r="K78" s="11" t="n">
        <f aca="false">IF(G78=0,"",F78/G78)</f>
        <v>224.5</v>
      </c>
      <c r="L78" s="6" t="str">
        <f aca="false">IF(OR(H78="",G78=0),"",H78/G78)</f>
        <v/>
      </c>
      <c r="M78" s="7"/>
    </row>
    <row r="79" customFormat="false" ht="15" hidden="false" customHeight="false" outlineLevel="0" collapsed="false">
      <c r="A79" s="12" t="s">
        <v>128</v>
      </c>
      <c r="B79" s="12" t="s">
        <v>170</v>
      </c>
      <c r="C79" s="12" t="s">
        <v>171</v>
      </c>
      <c r="D79" s="12" t="s">
        <v>174</v>
      </c>
      <c r="E79" s="13" t="s">
        <v>156</v>
      </c>
      <c r="F79" s="14" t="n">
        <v>799</v>
      </c>
      <c r="G79" s="12" t="n">
        <v>4</v>
      </c>
      <c r="H79" s="9"/>
      <c r="I79" s="15" t="str">
        <f aca="false">IF(H79="","",H79-F79)</f>
        <v/>
      </c>
      <c r="J79" s="16" t="str">
        <f aca="false">IF(H79="","",(H79-F79)/F79)</f>
        <v/>
      </c>
      <c r="K79" s="16" t="n">
        <f aca="false">IF(G79=0,"",F79/G79)</f>
        <v>199.75</v>
      </c>
      <c r="L79" s="12" t="str">
        <f aca="false">IF(OR(H79="",G79=0),"",H79/G79)</f>
        <v/>
      </c>
      <c r="M79" s="13"/>
    </row>
    <row r="80" customFormat="false" ht="15" hidden="false" customHeight="false" outlineLevel="0" collapsed="false">
      <c r="A80" s="6" t="s">
        <v>128</v>
      </c>
      <c r="B80" s="6" t="s">
        <v>175</v>
      </c>
      <c r="C80" s="6" t="s">
        <v>176</v>
      </c>
      <c r="D80" s="6" t="s">
        <v>177</v>
      </c>
      <c r="E80" s="7" t="s">
        <v>178</v>
      </c>
      <c r="F80" s="8" t="n">
        <v>249</v>
      </c>
      <c r="G80" s="6" t="n">
        <v>1</v>
      </c>
      <c r="H80" s="9"/>
      <c r="I80" s="10" t="str">
        <f aca="false">IF(H80="","",H80-F80)</f>
        <v/>
      </c>
      <c r="J80" s="11" t="str">
        <f aca="false">IF(H80="","",(H80-F80)/F80)</f>
        <v/>
      </c>
      <c r="K80" s="11" t="n">
        <f aca="false">IF(G80=0,"",F80/G80)</f>
        <v>249</v>
      </c>
      <c r="L80" s="6" t="str">
        <f aca="false">IF(OR(H80="",G80=0),"",H80/G80)</f>
        <v/>
      </c>
      <c r="M80" s="7"/>
    </row>
    <row r="81" customFormat="false" ht="15" hidden="false" customHeight="false" outlineLevel="0" collapsed="false">
      <c r="A81" s="12" t="s">
        <v>128</v>
      </c>
      <c r="B81" s="12" t="s">
        <v>175</v>
      </c>
      <c r="C81" s="12" t="s">
        <v>176</v>
      </c>
      <c r="D81" s="12" t="s">
        <v>179</v>
      </c>
      <c r="E81" s="13" t="s">
        <v>180</v>
      </c>
      <c r="F81" s="14" t="n">
        <v>449</v>
      </c>
      <c r="G81" s="12" t="n">
        <v>2</v>
      </c>
      <c r="H81" s="9"/>
      <c r="I81" s="15" t="str">
        <f aca="false">IF(H81="","",H81-F81)</f>
        <v/>
      </c>
      <c r="J81" s="16" t="str">
        <f aca="false">IF(H81="","",(H81-F81)/F81)</f>
        <v/>
      </c>
      <c r="K81" s="16" t="n">
        <f aca="false">IF(G81=0,"",F81/G81)</f>
        <v>224.5</v>
      </c>
      <c r="L81" s="12" t="str">
        <f aca="false">IF(OR(H81="",G81=0),"",H81/G81)</f>
        <v/>
      </c>
      <c r="M81" s="13"/>
    </row>
    <row r="82" customFormat="false" ht="15" hidden="false" customHeight="false" outlineLevel="0" collapsed="false">
      <c r="A82" s="6" t="s">
        <v>128</v>
      </c>
      <c r="B82" s="6" t="s">
        <v>175</v>
      </c>
      <c r="C82" s="6" t="s">
        <v>176</v>
      </c>
      <c r="D82" s="6" t="s">
        <v>181</v>
      </c>
      <c r="E82" s="7" t="s">
        <v>182</v>
      </c>
      <c r="F82" s="8" t="n">
        <v>699</v>
      </c>
      <c r="G82" s="6" t="n">
        <v>3</v>
      </c>
      <c r="H82" s="9"/>
      <c r="I82" s="10" t="str">
        <f aca="false">IF(H82="","",H82-F82)</f>
        <v/>
      </c>
      <c r="J82" s="11" t="str">
        <f aca="false">IF(H82="","",(H82-F82)/F82)</f>
        <v/>
      </c>
      <c r="K82" s="11" t="n">
        <f aca="false">IF(G82=0,"",F82/G82)</f>
        <v>233</v>
      </c>
      <c r="L82" s="6" t="str">
        <f aca="false">IF(OR(H82="",G82=0),"",H82/G82)</f>
        <v/>
      </c>
      <c r="M82" s="7"/>
    </row>
    <row r="83" customFormat="false" ht="15" hidden="false" customHeight="false" outlineLevel="0" collapsed="false">
      <c r="A83" s="17" t="s">
        <v>128</v>
      </c>
      <c r="B83" s="17" t="s">
        <v>183</v>
      </c>
      <c r="C83" s="17" t="s">
        <v>184</v>
      </c>
      <c r="D83" s="17" t="s">
        <v>185</v>
      </c>
      <c r="E83" s="18"/>
      <c r="F83" s="19" t="n">
        <v>1199</v>
      </c>
      <c r="G83" s="17" t="n">
        <v>6</v>
      </c>
      <c r="H83" s="9"/>
      <c r="I83" s="20" t="str">
        <f aca="false">IF(H83="","",H83-F83)</f>
        <v/>
      </c>
      <c r="J83" s="21" t="str">
        <f aca="false">IF(H83="","",(H83-F83)/F83)</f>
        <v/>
      </c>
      <c r="K83" s="21" t="n">
        <f aca="false">IF(G83=0,"",F83/G83)</f>
        <v>199.833333333333</v>
      </c>
      <c r="L83" s="17" t="str">
        <f aca="false">IF(OR(H83="",G83=0),"",H83/G83)</f>
        <v/>
      </c>
      <c r="M83" s="18"/>
    </row>
    <row r="84" customFormat="false" ht="15" hidden="false" customHeight="false" outlineLevel="0" collapsed="false">
      <c r="A84" s="17" t="s">
        <v>128</v>
      </c>
      <c r="B84" s="17" t="s">
        <v>183</v>
      </c>
      <c r="C84" s="17" t="s">
        <v>184</v>
      </c>
      <c r="D84" s="17" t="s">
        <v>186</v>
      </c>
      <c r="E84" s="18"/>
      <c r="F84" s="19" t="n">
        <v>1599</v>
      </c>
      <c r="G84" s="17" t="n">
        <v>8</v>
      </c>
      <c r="H84" s="9"/>
      <c r="I84" s="20" t="str">
        <f aca="false">IF(H84="","",H84-F84)</f>
        <v/>
      </c>
      <c r="J84" s="21" t="str">
        <f aca="false">IF(H84="","",(H84-F84)/F84)</f>
        <v/>
      </c>
      <c r="K84" s="21" t="n">
        <f aca="false">IF(G84=0,"",F84/G84)</f>
        <v>199.875</v>
      </c>
      <c r="L84" s="17" t="str">
        <f aca="false">IF(OR(H84="",G84=0),"",H84/G84)</f>
        <v/>
      </c>
      <c r="M84" s="18"/>
    </row>
    <row r="85" customFormat="false" ht="15" hidden="false" customHeight="false" outlineLevel="0" collapsed="false">
      <c r="A85" s="17" t="s">
        <v>128</v>
      </c>
      <c r="B85" s="17" t="s">
        <v>183</v>
      </c>
      <c r="C85" s="17" t="s">
        <v>184</v>
      </c>
      <c r="D85" s="17" t="s">
        <v>187</v>
      </c>
      <c r="E85" s="18"/>
      <c r="F85" s="19" t="n">
        <v>1999</v>
      </c>
      <c r="G85" s="17" t="n">
        <v>10</v>
      </c>
      <c r="H85" s="9"/>
      <c r="I85" s="20" t="str">
        <f aca="false">IF(H85="","",H85-F85)</f>
        <v/>
      </c>
      <c r="J85" s="21" t="str">
        <f aca="false">IF(H85="","",(H85-F85)/F85)</f>
        <v/>
      </c>
      <c r="K85" s="21" t="n">
        <f aca="false">IF(G85=0,"",F85/G85)</f>
        <v>199.9</v>
      </c>
      <c r="L85" s="17" t="str">
        <f aca="false">IF(OR(H85="",G85=0),"",H85/G85)</f>
        <v/>
      </c>
      <c r="M85" s="18"/>
    </row>
    <row r="86" customFormat="false" ht="15" hidden="false" customHeight="false" outlineLevel="0" collapsed="false">
      <c r="A86" s="6" t="s">
        <v>128</v>
      </c>
      <c r="B86" s="6" t="s">
        <v>188</v>
      </c>
      <c r="C86" s="6" t="s">
        <v>189</v>
      </c>
      <c r="D86" s="6" t="s">
        <v>190</v>
      </c>
      <c r="E86" s="7"/>
      <c r="F86" s="8" t="n">
        <v>1499</v>
      </c>
      <c r="G86" s="6" t="n">
        <v>4</v>
      </c>
      <c r="H86" s="9"/>
      <c r="I86" s="10" t="str">
        <f aca="false">IF(H86="","",H86-F86)</f>
        <v/>
      </c>
      <c r="J86" s="11" t="str">
        <f aca="false">IF(H86="","",(H86-F86)/F86)</f>
        <v/>
      </c>
      <c r="K86" s="11" t="n">
        <f aca="false">IF(G86=0,"",F86/G86)</f>
        <v>374.75</v>
      </c>
      <c r="L86" s="6" t="str">
        <f aca="false">IF(OR(H86="",G86=0),"",H86/G86)</f>
        <v/>
      </c>
      <c r="M86" s="7"/>
    </row>
    <row r="87" customFormat="false" ht="15" hidden="false" customHeight="false" outlineLevel="0" collapsed="false">
      <c r="A87" s="12" t="s">
        <v>128</v>
      </c>
      <c r="B87" s="12" t="s">
        <v>188</v>
      </c>
      <c r="C87" s="12" t="s">
        <v>189</v>
      </c>
      <c r="D87" s="12" t="s">
        <v>191</v>
      </c>
      <c r="E87" s="13"/>
      <c r="F87" s="14" t="n">
        <v>2499</v>
      </c>
      <c r="G87" s="12" t="n">
        <v>6</v>
      </c>
      <c r="H87" s="9"/>
      <c r="I87" s="15" t="str">
        <f aca="false">IF(H87="","",H87-F87)</f>
        <v/>
      </c>
      <c r="J87" s="16" t="str">
        <f aca="false">IF(H87="","",(H87-F87)/F87)</f>
        <v/>
      </c>
      <c r="K87" s="16" t="n">
        <f aca="false">IF(G87=0,"",F87/G87)</f>
        <v>416.5</v>
      </c>
      <c r="L87" s="12" t="str">
        <f aca="false">IF(OR(H87="",G87=0),"",H87/G87)</f>
        <v/>
      </c>
      <c r="M87" s="13"/>
    </row>
    <row r="88" customFormat="false" ht="15" hidden="false" customHeight="false" outlineLevel="0" collapsed="false">
      <c r="A88" s="6" t="s">
        <v>128</v>
      </c>
      <c r="B88" s="6" t="s">
        <v>188</v>
      </c>
      <c r="C88" s="6" t="s">
        <v>189</v>
      </c>
      <c r="D88" s="6" t="s">
        <v>192</v>
      </c>
      <c r="E88" s="7"/>
      <c r="F88" s="8" t="n">
        <v>3999</v>
      </c>
      <c r="G88" s="6" t="n">
        <v>8</v>
      </c>
      <c r="H88" s="9"/>
      <c r="I88" s="10" t="str">
        <f aca="false">IF(H88="","",H88-F88)</f>
        <v/>
      </c>
      <c r="J88" s="11" t="str">
        <f aca="false">IF(H88="","",(H88-F88)/F88)</f>
        <v/>
      </c>
      <c r="K88" s="11" t="n">
        <f aca="false">IF(G88=0,"",F88/G88)</f>
        <v>499.875</v>
      </c>
      <c r="L88" s="6" t="str">
        <f aca="false">IF(OR(H88="",G88=0),"",H88/G88)</f>
        <v/>
      </c>
      <c r="M88" s="7"/>
    </row>
    <row r="89" customFormat="false" ht="15" hidden="false" customHeight="false" outlineLevel="0" collapsed="false">
      <c r="A89" s="12" t="s">
        <v>128</v>
      </c>
      <c r="B89" s="12" t="s">
        <v>193</v>
      </c>
      <c r="C89" s="12" t="s">
        <v>194</v>
      </c>
      <c r="D89" s="12" t="s">
        <v>195</v>
      </c>
      <c r="E89" s="13" t="s">
        <v>196</v>
      </c>
      <c r="F89" s="14" t="n">
        <v>499</v>
      </c>
      <c r="G89" s="12" t="n">
        <v>1</v>
      </c>
      <c r="H89" s="9"/>
      <c r="I89" s="15" t="str">
        <f aca="false">IF(H89="","",H89-F89)</f>
        <v/>
      </c>
      <c r="J89" s="16" t="str">
        <f aca="false">IF(H89="","",(H89-F89)/F89)</f>
        <v/>
      </c>
      <c r="K89" s="16" t="n">
        <f aca="false">IF(G89=0,"",F89/G89)</f>
        <v>499</v>
      </c>
      <c r="L89" s="12" t="str">
        <f aca="false">IF(OR(H89="",G89=0),"",H89/G89)</f>
        <v/>
      </c>
      <c r="M89" s="13"/>
    </row>
    <row r="90" customFormat="false" ht="15" hidden="false" customHeight="false" outlineLevel="0" collapsed="false">
      <c r="A90" s="6" t="s">
        <v>128</v>
      </c>
      <c r="B90" s="6" t="s">
        <v>193</v>
      </c>
      <c r="C90" s="6" t="s">
        <v>194</v>
      </c>
      <c r="D90" s="6" t="s">
        <v>197</v>
      </c>
      <c r="E90" s="7" t="s">
        <v>198</v>
      </c>
      <c r="F90" s="8" t="n">
        <v>699</v>
      </c>
      <c r="G90" s="6" t="n">
        <v>1.5</v>
      </c>
      <c r="H90" s="9"/>
      <c r="I90" s="10" t="str">
        <f aca="false">IF(H90="","",H90-F90)</f>
        <v/>
      </c>
      <c r="J90" s="11" t="str">
        <f aca="false">IF(H90="","",(H90-F90)/F90)</f>
        <v/>
      </c>
      <c r="K90" s="11" t="n">
        <f aca="false">IF(G90=0,"",F90/G90)</f>
        <v>466</v>
      </c>
      <c r="L90" s="6" t="str">
        <f aca="false">IF(OR(H90="",G90=0),"",H90/G90)</f>
        <v/>
      </c>
      <c r="M90" s="7"/>
    </row>
    <row r="91" customFormat="false" ht="15" hidden="false" customHeight="false" outlineLevel="0" collapsed="false">
      <c r="A91" s="12" t="s">
        <v>128</v>
      </c>
      <c r="B91" s="12" t="s">
        <v>193</v>
      </c>
      <c r="C91" s="12" t="s">
        <v>194</v>
      </c>
      <c r="D91" s="12" t="s">
        <v>199</v>
      </c>
      <c r="E91" s="13" t="s">
        <v>200</v>
      </c>
      <c r="F91" s="14" t="n">
        <v>999</v>
      </c>
      <c r="G91" s="12" t="n">
        <v>2</v>
      </c>
      <c r="H91" s="9"/>
      <c r="I91" s="15" t="str">
        <f aca="false">IF(H91="","",H91-F91)</f>
        <v/>
      </c>
      <c r="J91" s="16" t="str">
        <f aca="false">IF(H91="","",(H91-F91)/F91)</f>
        <v/>
      </c>
      <c r="K91" s="16" t="n">
        <f aca="false">IF(G91=0,"",F91/G91)</f>
        <v>499.5</v>
      </c>
      <c r="L91" s="12" t="str">
        <f aca="false">IF(OR(H91="",G91=0),"",H91/G91)</f>
        <v/>
      </c>
      <c r="M91" s="13"/>
    </row>
    <row r="92" customFormat="false" ht="15" hidden="false" customHeight="false" outlineLevel="0" collapsed="false">
      <c r="A92" s="6" t="s">
        <v>128</v>
      </c>
      <c r="B92" s="6" t="s">
        <v>201</v>
      </c>
      <c r="C92" s="6" t="s">
        <v>202</v>
      </c>
      <c r="D92" s="6" t="s">
        <v>203</v>
      </c>
      <c r="E92" s="7"/>
      <c r="F92" s="8" t="n">
        <v>249</v>
      </c>
      <c r="G92" s="6" t="n">
        <v>0.5</v>
      </c>
      <c r="H92" s="9"/>
      <c r="I92" s="10" t="str">
        <f aca="false">IF(H92="","",H92-F92)</f>
        <v/>
      </c>
      <c r="J92" s="11" t="str">
        <f aca="false">IF(H92="","",(H92-F92)/F92)</f>
        <v/>
      </c>
      <c r="K92" s="11" t="n">
        <f aca="false">IF(G92=0,"",F92/G92)</f>
        <v>498</v>
      </c>
      <c r="L92" s="6" t="str">
        <f aca="false">IF(OR(H92="",G92=0),"",H92/G92)</f>
        <v/>
      </c>
      <c r="M92" s="7"/>
    </row>
    <row r="93" customFormat="false" ht="15" hidden="false" customHeight="false" outlineLevel="0" collapsed="false">
      <c r="A93" s="12" t="s">
        <v>128</v>
      </c>
      <c r="B93" s="12" t="s">
        <v>201</v>
      </c>
      <c r="C93" s="12" t="s">
        <v>202</v>
      </c>
      <c r="D93" s="12" t="s">
        <v>204</v>
      </c>
      <c r="E93" s="13"/>
      <c r="F93" s="14" t="n">
        <v>399</v>
      </c>
      <c r="G93" s="12" t="n">
        <v>1</v>
      </c>
      <c r="H93" s="9"/>
      <c r="I93" s="15" t="str">
        <f aca="false">IF(H93="","",H93-F93)</f>
        <v/>
      </c>
      <c r="J93" s="16" t="str">
        <f aca="false">IF(H93="","",(H93-F93)/F93)</f>
        <v/>
      </c>
      <c r="K93" s="16" t="n">
        <f aca="false">IF(G93=0,"",F93/G93)</f>
        <v>399</v>
      </c>
      <c r="L93" s="12" t="str">
        <f aca="false">IF(OR(H93="",G93=0),"",H93/G93)</f>
        <v/>
      </c>
      <c r="M93" s="13"/>
    </row>
    <row r="94" customFormat="false" ht="15" hidden="false" customHeight="false" outlineLevel="0" collapsed="false">
      <c r="A94" s="6" t="s">
        <v>128</v>
      </c>
      <c r="B94" s="6" t="s">
        <v>201</v>
      </c>
      <c r="C94" s="6" t="s">
        <v>202</v>
      </c>
      <c r="D94" s="6" t="s">
        <v>205</v>
      </c>
      <c r="E94" s="7"/>
      <c r="F94" s="8" t="n">
        <v>599</v>
      </c>
      <c r="G94" s="6" t="n">
        <v>1.5</v>
      </c>
      <c r="H94" s="9"/>
      <c r="I94" s="10" t="str">
        <f aca="false">IF(H94="","",H94-F94)</f>
        <v/>
      </c>
      <c r="J94" s="11" t="str">
        <f aca="false">IF(H94="","",(H94-F94)/F94)</f>
        <v/>
      </c>
      <c r="K94" s="11" t="n">
        <f aca="false">IF(G94=0,"",F94/G94)</f>
        <v>399.333333333333</v>
      </c>
      <c r="L94" s="6" t="str">
        <f aca="false">IF(OR(H94="",G94=0),"",H94/G94)</f>
        <v/>
      </c>
      <c r="M94" s="7"/>
    </row>
    <row r="95" customFormat="false" ht="15" hidden="false" customHeight="false" outlineLevel="0" collapsed="false">
      <c r="A95" s="12" t="s">
        <v>128</v>
      </c>
      <c r="B95" s="12" t="s">
        <v>206</v>
      </c>
      <c r="C95" s="12" t="s">
        <v>146</v>
      </c>
      <c r="D95" s="12" t="s">
        <v>136</v>
      </c>
      <c r="E95" s="13"/>
      <c r="F95" s="14" t="n">
        <v>349</v>
      </c>
      <c r="G95" s="12" t="n">
        <v>2</v>
      </c>
      <c r="H95" s="9"/>
      <c r="I95" s="15" t="str">
        <f aca="false">IF(H95="","",H95-F95)</f>
        <v/>
      </c>
      <c r="J95" s="16" t="str">
        <f aca="false">IF(H95="","",(H95-F95)/F95)</f>
        <v/>
      </c>
      <c r="K95" s="16" t="n">
        <f aca="false">IF(G95=0,"",F95/G95)</f>
        <v>174.5</v>
      </c>
      <c r="L95" s="12" t="str">
        <f aca="false">IF(OR(H95="",G95=0),"",H95/G95)</f>
        <v/>
      </c>
      <c r="M95" s="13"/>
    </row>
    <row r="96" customFormat="false" ht="15" hidden="false" customHeight="false" outlineLevel="0" collapsed="false">
      <c r="A96" s="6" t="s">
        <v>128</v>
      </c>
      <c r="B96" s="6" t="s">
        <v>206</v>
      </c>
      <c r="C96" s="6" t="s">
        <v>146</v>
      </c>
      <c r="D96" s="6" t="s">
        <v>138</v>
      </c>
      <c r="E96" s="7"/>
      <c r="F96" s="8" t="n">
        <v>599</v>
      </c>
      <c r="G96" s="6" t="n">
        <v>4</v>
      </c>
      <c r="H96" s="9"/>
      <c r="I96" s="10" t="str">
        <f aca="false">IF(H96="","",H96-F96)</f>
        <v/>
      </c>
      <c r="J96" s="11" t="str">
        <f aca="false">IF(H96="","",(H96-F96)/F96)</f>
        <v/>
      </c>
      <c r="K96" s="11" t="n">
        <f aca="false">IF(G96=0,"",F96/G96)</f>
        <v>149.75</v>
      </c>
      <c r="L96" s="6" t="str">
        <f aca="false">IF(OR(H96="",G96=0),"",H96/G96)</f>
        <v/>
      </c>
      <c r="M96" s="7"/>
    </row>
    <row r="97" customFormat="false" ht="15" hidden="false" customHeight="false" outlineLevel="0" collapsed="false">
      <c r="A97" s="12" t="s">
        <v>128</v>
      </c>
      <c r="B97" s="12" t="s">
        <v>206</v>
      </c>
      <c r="C97" s="12" t="s">
        <v>146</v>
      </c>
      <c r="D97" s="12" t="s">
        <v>147</v>
      </c>
      <c r="E97" s="13"/>
      <c r="F97" s="14" t="n">
        <v>999</v>
      </c>
      <c r="G97" s="12" t="n">
        <v>8</v>
      </c>
      <c r="H97" s="9"/>
      <c r="I97" s="15" t="str">
        <f aca="false">IF(H97="","",H97-F97)</f>
        <v/>
      </c>
      <c r="J97" s="16" t="str">
        <f aca="false">IF(H97="","",(H97-F97)/F97)</f>
        <v/>
      </c>
      <c r="K97" s="16" t="n">
        <f aca="false">IF(G97=0,"",F97/G97)</f>
        <v>124.875</v>
      </c>
      <c r="L97" s="12" t="str">
        <f aca="false">IF(OR(H97="",G97=0),"",H97/G97)</f>
        <v/>
      </c>
      <c r="M97" s="13"/>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46"/>
    <col collapsed="false" customWidth="true" hidden="false" outlineLevel="0" max="4" min="4" style="0" width="40"/>
  </cols>
  <sheetData>
    <row r="2" customFormat="false" ht="19.7" hidden="false" customHeight="false" outlineLevel="0" collapsed="false">
      <c r="B2" s="1" t="s">
        <v>207</v>
      </c>
    </row>
    <row r="4" customFormat="false" ht="15" hidden="false" customHeight="false" outlineLevel="0" collapsed="false">
      <c r="B4" s="5" t="s">
        <v>208</v>
      </c>
      <c r="C4" s="5" t="s">
        <v>209</v>
      </c>
      <c r="D4" s="5" t="s">
        <v>210</v>
      </c>
    </row>
    <row r="5" customFormat="false" ht="35.05" hidden="false" customHeight="false" outlineLevel="0" collapsed="false">
      <c r="B5" s="22" t="s">
        <v>211</v>
      </c>
      <c r="C5" s="13" t="s">
        <v>212</v>
      </c>
      <c r="D5" s="13" t="s">
        <v>213</v>
      </c>
    </row>
    <row r="6" customFormat="false" ht="35.05" hidden="false" customHeight="false" outlineLevel="0" collapsed="false">
      <c r="B6" s="22" t="s">
        <v>214</v>
      </c>
      <c r="C6" s="13" t="s">
        <v>215</v>
      </c>
      <c r="D6" s="13" t="s">
        <v>216</v>
      </c>
    </row>
    <row r="7" customFormat="false" ht="23.85" hidden="false" customHeight="false" outlineLevel="0" collapsed="false">
      <c r="B7" s="22" t="s">
        <v>217</v>
      </c>
      <c r="C7" s="13" t="s">
        <v>218</v>
      </c>
      <c r="D7" s="13" t="s">
        <v>219</v>
      </c>
    </row>
    <row r="8" customFormat="false" ht="46.25" hidden="false" customHeight="false" outlineLevel="0" collapsed="false">
      <c r="B8" s="22" t="s">
        <v>220</v>
      </c>
      <c r="C8" s="13" t="s">
        <v>221</v>
      </c>
      <c r="D8" s="13" t="s">
        <v>222</v>
      </c>
    </row>
    <row r="10" customFormat="false" ht="15" hidden="false" customHeight="false" outlineLevel="0" collapsed="false">
      <c r="B10" s="23" t="s">
        <v>223</v>
      </c>
    </row>
    <row r="11" customFormat="false" ht="60" hidden="false" customHeight="true" outlineLevel="0" collapsed="false">
      <c r="B11" s="24" t="s">
        <v>224</v>
      </c>
      <c r="C11" s="24"/>
      <c r="D11" s="24"/>
    </row>
  </sheetData>
  <mergeCells count="1">
    <mergeCell ref="B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2026-09-21T15:59:05Z</dcterms:created>
  <dc:creator>openpyxl</dc:creator>
  <dc:description/>
  <dc:language>en-US</dc:language>
  <cp:lastModifiedBy/>
  <dcterms:modified xsi:type="dcterms:W3CDTF">2026-09-21T15:59:05Z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